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uditor\Desktop\"/>
    </mc:Choice>
  </mc:AlternateContent>
  <bookViews>
    <workbookView xWindow="0" yWindow="0" windowWidth="24000" windowHeight="9600"/>
  </bookViews>
  <sheets>
    <sheet name="Sheet2"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14" i="1" l="1"/>
  <c r="B409" i="1"/>
  <c r="C393" i="1"/>
  <c r="C392" i="1"/>
  <c r="C395" i="1" s="1"/>
  <c r="D380" i="1"/>
  <c r="D378" i="1"/>
  <c r="C365" i="1"/>
  <c r="B358" i="1"/>
  <c r="B357" i="1"/>
  <c r="D347" i="1"/>
  <c r="C360" i="1" s="1"/>
  <c r="C366" i="1" s="1"/>
  <c r="C332" i="1"/>
  <c r="C336" i="1" s="1"/>
  <c r="C337" i="1" s="1"/>
  <c r="B330" i="1"/>
  <c r="B328" i="1"/>
  <c r="E314" i="1"/>
  <c r="B295" i="1"/>
  <c r="B294" i="1"/>
  <c r="C275" i="1"/>
  <c r="B264" i="1"/>
  <c r="B263" i="1"/>
  <c r="C267" i="1" s="1"/>
  <c r="A270" i="1" s="1"/>
  <c r="B259" i="1"/>
  <c r="D270" i="1" s="1"/>
  <c r="D249" i="1"/>
  <c r="E247" i="1"/>
  <c r="E249" i="1" s="1"/>
  <c r="E227" i="1" s="1"/>
  <c r="E228" i="1" s="1"/>
  <c r="D245" i="1"/>
  <c r="D226" i="1" s="1"/>
  <c r="E243" i="1"/>
  <c r="G229" i="1"/>
  <c r="H229" i="1" s="1"/>
  <c r="F229" i="1"/>
  <c r="E229" i="1"/>
  <c r="D227" i="1"/>
  <c r="D228" i="1" s="1"/>
  <c r="E210" i="1"/>
  <c r="F210" i="1" s="1"/>
  <c r="G232" i="1" s="1"/>
  <c r="E209" i="1"/>
  <c r="F209" i="1" s="1"/>
  <c r="F232" i="1" s="1"/>
  <c r="E208" i="1"/>
  <c r="F208" i="1" s="1"/>
  <c r="E232" i="1" s="1"/>
  <c r="E207" i="1"/>
  <c r="F207" i="1" s="1"/>
  <c r="D232" i="1" s="1"/>
  <c r="C181" i="1"/>
  <c r="C180" i="1"/>
  <c r="C176" i="1"/>
  <c r="C152" i="1"/>
  <c r="D150" i="1"/>
  <c r="D145" i="1"/>
  <c r="F144" i="1"/>
  <c r="F145" i="1" s="1"/>
  <c r="F117" i="1" s="1"/>
  <c r="E144" i="1"/>
  <c r="E145" i="1" s="1"/>
  <c r="E117" i="1" s="1"/>
  <c r="E119" i="1" s="1"/>
  <c r="D144" i="1"/>
  <c r="D138" i="1"/>
  <c r="E138" i="1" s="1"/>
  <c r="C130" i="1"/>
  <c r="C128" i="1"/>
  <c r="H128" i="1" s="1"/>
  <c r="C123" i="1"/>
  <c r="C129" i="1" s="1"/>
  <c r="C131" i="1" s="1"/>
  <c r="C132" i="1" s="1"/>
  <c r="D119" i="1"/>
  <c r="D117" i="1"/>
  <c r="D110" i="1"/>
  <c r="D130" i="1" s="1"/>
  <c r="F105" i="1"/>
  <c r="G105" i="1" s="1"/>
  <c r="H127" i="1" s="1"/>
  <c r="F104" i="1"/>
  <c r="G104" i="1" s="1"/>
  <c r="G127" i="1" s="1"/>
  <c r="F103" i="1"/>
  <c r="G103" i="1" s="1"/>
  <c r="F127" i="1" s="1"/>
  <c r="G102" i="1"/>
  <c r="E127" i="1" s="1"/>
  <c r="F102" i="1"/>
  <c r="F101" i="1"/>
  <c r="G101" i="1" s="1"/>
  <c r="D127" i="1" s="1"/>
  <c r="B76" i="1"/>
  <c r="C81" i="1" s="1"/>
  <c r="B75" i="1"/>
  <c r="B73" i="1"/>
  <c r="D55" i="1"/>
  <c r="C50" i="1"/>
  <c r="B41" i="1"/>
  <c r="B35" i="1"/>
  <c r="C46" i="1" s="1"/>
  <c r="B15" i="1"/>
  <c r="E7" i="1"/>
  <c r="C271" i="1" l="1"/>
  <c r="C273" i="1" s="1"/>
  <c r="C277" i="1" s="1"/>
  <c r="A238" i="1" s="1"/>
  <c r="C252" i="1"/>
  <c r="C235" i="1" s="1"/>
  <c r="D230" i="1"/>
  <c r="E139" i="1"/>
  <c r="E116" i="1" s="1"/>
  <c r="F138" i="1"/>
  <c r="G144" i="1"/>
  <c r="D151" i="1"/>
  <c r="E150" i="1"/>
  <c r="E110" i="1"/>
  <c r="D139" i="1"/>
  <c r="D116" i="1" s="1"/>
  <c r="E245" i="1"/>
  <c r="E226" i="1" s="1"/>
  <c r="F243" i="1"/>
  <c r="C367" i="1"/>
  <c r="D152" i="1"/>
  <c r="E211" i="1"/>
  <c r="F211" i="1" s="1"/>
  <c r="H232" i="1" s="1"/>
  <c r="F247" i="1"/>
  <c r="D252" i="1" l="1"/>
  <c r="D235" i="1" s="1"/>
  <c r="E230" i="1"/>
  <c r="D153" i="1"/>
  <c r="D118" i="1" s="1"/>
  <c r="F245" i="1"/>
  <c r="F226" i="1" s="1"/>
  <c r="G243" i="1"/>
  <c r="F139" i="1"/>
  <c r="F116" i="1" s="1"/>
  <c r="G138" i="1"/>
  <c r="D120" i="1"/>
  <c r="G145" i="1"/>
  <c r="G117" i="1" s="1"/>
  <c r="H144" i="1"/>
  <c r="H145" i="1" s="1"/>
  <c r="H117" i="1" s="1"/>
  <c r="D236" i="1"/>
  <c r="D237" i="1" s="1"/>
  <c r="F249" i="1"/>
  <c r="F227" i="1" s="1"/>
  <c r="F228" i="1" s="1"/>
  <c r="G247" i="1"/>
  <c r="E151" i="1"/>
  <c r="F150" i="1"/>
  <c r="F110" i="1"/>
  <c r="E130" i="1"/>
  <c r="E152" i="1"/>
  <c r="C236" i="1"/>
  <c r="C237" i="1" s="1"/>
  <c r="G150" i="1" l="1"/>
  <c r="F151" i="1"/>
  <c r="H138" i="1"/>
  <c r="H139" i="1" s="1"/>
  <c r="H116" i="1" s="1"/>
  <c r="G139" i="1"/>
  <c r="G116" i="1" s="1"/>
  <c r="E153" i="1"/>
  <c r="E118" i="1" s="1"/>
  <c r="E120" i="1" s="1"/>
  <c r="H247" i="1"/>
  <c r="H249" i="1" s="1"/>
  <c r="H227" i="1" s="1"/>
  <c r="H228" i="1" s="1"/>
  <c r="G249" i="1"/>
  <c r="G227" i="1" s="1"/>
  <c r="G228" i="1" s="1"/>
  <c r="H243" i="1"/>
  <c r="H245" i="1" s="1"/>
  <c r="H226" i="1" s="1"/>
  <c r="G245" i="1"/>
  <c r="G226" i="1" s="1"/>
  <c r="E231" i="1"/>
  <c r="E236" i="1" s="1"/>
  <c r="E237" i="1" s="1"/>
  <c r="G110" i="1"/>
  <c r="F152" i="1"/>
  <c r="F130" i="1"/>
  <c r="D121" i="1"/>
  <c r="D129" i="1"/>
  <c r="D131" i="1" s="1"/>
  <c r="D132" i="1" s="1"/>
  <c r="E252" i="1"/>
  <c r="E235" i="1" s="1"/>
  <c r="F230" i="1"/>
  <c r="F153" i="1" l="1"/>
  <c r="F118" i="1" s="1"/>
  <c r="F120" i="1" s="1"/>
  <c r="F236" i="1"/>
  <c r="F237" i="1" s="1"/>
  <c r="F231" i="1"/>
  <c r="F252" i="1"/>
  <c r="F235" i="1" s="1"/>
  <c r="G230" i="1"/>
  <c r="G152" i="1"/>
  <c r="G130" i="1"/>
  <c r="H110" i="1"/>
  <c r="G252" i="1"/>
  <c r="G235" i="1" s="1"/>
  <c r="H235" i="1" s="1"/>
  <c r="H230" i="1"/>
  <c r="E121" i="1"/>
  <c r="E129" i="1"/>
  <c r="E131" i="1" s="1"/>
  <c r="E132" i="1" s="1"/>
  <c r="H150" i="1"/>
  <c r="H151" i="1" s="1"/>
  <c r="G151" i="1"/>
  <c r="G153" i="1" s="1"/>
  <c r="G118" i="1" s="1"/>
  <c r="G120" i="1" s="1"/>
  <c r="G121" i="1" l="1"/>
  <c r="G129" i="1" s="1"/>
  <c r="G131" i="1" s="1"/>
  <c r="G132" i="1" s="1"/>
  <c r="H231" i="1"/>
  <c r="H236" i="1" s="1"/>
  <c r="H237" i="1" s="1"/>
  <c r="G231" i="1"/>
  <c r="G236" i="1" s="1"/>
  <c r="G237" i="1" s="1"/>
  <c r="H130" i="1"/>
  <c r="H152" i="1"/>
  <c r="H153" i="1" s="1"/>
  <c r="H118" i="1" s="1"/>
  <c r="H120" i="1" s="1"/>
  <c r="F121" i="1"/>
  <c r="F129" i="1" s="1"/>
  <c r="F131" i="1" s="1"/>
  <c r="F132" i="1" s="1"/>
  <c r="H121" i="1" l="1"/>
  <c r="H129" i="1" s="1"/>
  <c r="H131" i="1" s="1"/>
  <c r="H132" i="1" s="1"/>
  <c r="C239" i="1"/>
  <c r="D304" i="1" s="1"/>
  <c r="B280" i="1"/>
  <c r="D298" i="1" s="1"/>
  <c r="D300" i="1" s="1"/>
  <c r="D305" i="1" s="1"/>
  <c r="B167" i="1" l="1"/>
  <c r="C133" i="1"/>
  <c r="D306" i="1"/>
</calcChain>
</file>

<file path=xl/sharedStrings.xml><?xml version="1.0" encoding="utf-8"?>
<sst xmlns="http://schemas.openxmlformats.org/spreadsheetml/2006/main" count="574" uniqueCount="305">
  <si>
    <t>Black scholes Option Pricing Model</t>
  </si>
  <si>
    <t>E.g. 1</t>
  </si>
  <si>
    <t>Current share price</t>
  </si>
  <si>
    <t>Pa</t>
  </si>
  <si>
    <t>Exercise Price</t>
  </si>
  <si>
    <t>Pe</t>
  </si>
  <si>
    <t>Risk free rate</t>
  </si>
  <si>
    <t>r</t>
  </si>
  <si>
    <t xml:space="preserve">time to expiry </t>
  </si>
  <si>
    <t>t</t>
  </si>
  <si>
    <t>3 months</t>
  </si>
  <si>
    <t>in years</t>
  </si>
  <si>
    <t>Standard Deviation</t>
  </si>
  <si>
    <t>s</t>
  </si>
  <si>
    <t>Required</t>
  </si>
  <si>
    <t>Value of Put option &amp; Call Option</t>
  </si>
  <si>
    <t>step 1 done</t>
  </si>
  <si>
    <t>Step 2</t>
  </si>
  <si>
    <t>find e^-rt</t>
  </si>
  <si>
    <t>Step 3 Find d1 &amp; d2</t>
  </si>
  <si>
    <t>d1=</t>
  </si>
  <si>
    <t>Ln(Pa/Pe) + (r + 0.5 s^2)t</t>
  </si>
  <si>
    <t>s*(t)^-1/2</t>
  </si>
  <si>
    <t>to 2 decimal place</t>
  </si>
  <si>
    <t>d2=</t>
  </si>
  <si>
    <t>d1-s(t)^1/2</t>
  </si>
  <si>
    <t>(-0.13-0.3*(0.25^1/2)</t>
  </si>
  <si>
    <t>Step 4 Find N(d1) &amp; N(d2)</t>
  </si>
  <si>
    <t>N(d1)</t>
  </si>
  <si>
    <t>=</t>
  </si>
  <si>
    <t xml:space="preserve">will be split as </t>
  </si>
  <si>
    <t>now check its value from normal distribution table</t>
  </si>
  <si>
    <t>but since it value of d is negative, we will less it from 0.5</t>
  </si>
  <si>
    <t>N(d2)</t>
  </si>
  <si>
    <t xml:space="preserve">Step 5 </t>
  </si>
  <si>
    <t>Value of call option</t>
  </si>
  <si>
    <t>C</t>
  </si>
  <si>
    <t>Pa N(d1) - Pe N(d2)*e^-rt</t>
  </si>
  <si>
    <t>Value of Put Option</t>
  </si>
  <si>
    <t>P</t>
  </si>
  <si>
    <t>C- Pa + Pe * e^(-rt)</t>
  </si>
  <si>
    <t>CATHLYNN</t>
  </si>
  <si>
    <t>Expercise price</t>
  </si>
  <si>
    <t>time</t>
  </si>
  <si>
    <t>interest</t>
  </si>
  <si>
    <t>i</t>
  </si>
  <si>
    <t>standard deviation</t>
  </si>
  <si>
    <t>e^-rt</t>
  </si>
  <si>
    <t>Step 3</t>
  </si>
  <si>
    <t>d1</t>
  </si>
  <si>
    <t>d2</t>
  </si>
  <si>
    <t xml:space="preserve">or </t>
  </si>
  <si>
    <t>Step 4</t>
  </si>
  <si>
    <t>Find N(d1) N(d2)</t>
  </si>
  <si>
    <t>Step 5</t>
  </si>
  <si>
    <t>Call option</t>
  </si>
  <si>
    <t>Mehgam</t>
  </si>
  <si>
    <t>Appendix (i)</t>
  </si>
  <si>
    <t xml:space="preserve">Megham </t>
  </si>
  <si>
    <t>currency</t>
  </si>
  <si>
    <t>Peso (MP)</t>
  </si>
  <si>
    <t>year</t>
  </si>
  <si>
    <t>cap all</t>
  </si>
  <si>
    <t>tax savings</t>
  </si>
  <si>
    <t>Chumra in US</t>
  </si>
  <si>
    <t>USD currency</t>
  </si>
  <si>
    <t>Step 1</t>
  </si>
  <si>
    <t>machinery</t>
  </si>
  <si>
    <t>Tax dep</t>
  </si>
  <si>
    <t>SLM</t>
  </si>
  <si>
    <t>Scrap value</t>
  </si>
  <si>
    <t>Step 2 Exchange rates</t>
  </si>
  <si>
    <t>MP/$</t>
  </si>
  <si>
    <t>inflation in Megham</t>
  </si>
  <si>
    <t>inflation in Chumra</t>
  </si>
  <si>
    <t>NPV</t>
  </si>
  <si>
    <t xml:space="preserve">Currency </t>
  </si>
  <si>
    <t>MP</t>
  </si>
  <si>
    <t>revenue (w1)</t>
  </si>
  <si>
    <t>VC (W2)</t>
  </si>
  <si>
    <t>Special pakaging cost (w3)</t>
  </si>
  <si>
    <t xml:space="preserve">T &amp; Dev cost </t>
  </si>
  <si>
    <t>Taxable profit</t>
  </si>
  <si>
    <t>Tax (25%)</t>
  </si>
  <si>
    <t>initial Investment</t>
  </si>
  <si>
    <t>land &amp; Building</t>
  </si>
  <si>
    <t>Scrap value of L &amp; B</t>
  </si>
  <si>
    <t>working capital</t>
  </si>
  <si>
    <t>net CF in MP</t>
  </si>
  <si>
    <t>Exchange rates MP/$</t>
  </si>
  <si>
    <t>net CF in $</t>
  </si>
  <si>
    <t>PV @ 12%</t>
  </si>
  <si>
    <t>W1 renvene</t>
  </si>
  <si>
    <t>Units</t>
  </si>
  <si>
    <t xml:space="preserve">SP/unit MP </t>
  </si>
  <si>
    <t>Revenue in  MP in m</t>
  </si>
  <si>
    <t>W2</t>
  </si>
  <si>
    <t>VC/unit MP</t>
  </si>
  <si>
    <t>VC in  MP in m</t>
  </si>
  <si>
    <t xml:space="preserve">w3 </t>
  </si>
  <si>
    <t>special pakaging/batch in $</t>
  </si>
  <si>
    <t>Sp pakaging in $ in m</t>
  </si>
  <si>
    <t>exchange rate</t>
  </si>
  <si>
    <t>Sp pakaging in MP in m</t>
  </si>
  <si>
    <t>Appendix (ii)</t>
  </si>
  <si>
    <t>Value of Project After considering Bulud's offer</t>
  </si>
  <si>
    <t>option to Early Exit</t>
  </si>
  <si>
    <t xml:space="preserve">Pe </t>
  </si>
  <si>
    <t>offer price</t>
  </si>
  <si>
    <t>PV of opportunity cost</t>
  </si>
  <si>
    <t xml:space="preserve">time </t>
  </si>
  <si>
    <t>risk free rate</t>
  </si>
  <si>
    <t>m USD</t>
  </si>
  <si>
    <t>sum of Net cashflow after year 2</t>
  </si>
  <si>
    <t>years</t>
  </si>
  <si>
    <t>Step  4</t>
  </si>
  <si>
    <t>Allegro Technologies</t>
  </si>
  <si>
    <t xml:space="preserve">ATC </t>
  </si>
  <si>
    <t>Europe</t>
  </si>
  <si>
    <t>spent for patent</t>
  </si>
  <si>
    <t>m $</t>
  </si>
  <si>
    <t>spent for prototype</t>
  </si>
  <si>
    <t>m$</t>
  </si>
  <si>
    <t xml:space="preserve">Project life  </t>
  </si>
  <si>
    <t>5 years</t>
  </si>
  <si>
    <t>scrap of project</t>
  </si>
  <si>
    <t>Year</t>
  </si>
  <si>
    <t>Cap all</t>
  </si>
  <si>
    <t>tax savings 20%</t>
  </si>
  <si>
    <t>Machine</t>
  </si>
  <si>
    <t>tax</t>
  </si>
  <si>
    <t>scrap</t>
  </si>
  <si>
    <t>Step 2 Exchange rate</t>
  </si>
  <si>
    <t>Revenue (w1)</t>
  </si>
  <si>
    <t>VC (w2)</t>
  </si>
  <si>
    <t>training &amp; Dev cost</t>
  </si>
  <si>
    <t>fixed cost</t>
  </si>
  <si>
    <t>taxable Profit</t>
  </si>
  <si>
    <t>tax 20%</t>
  </si>
  <si>
    <t>Tax savings on capital allowance</t>
  </si>
  <si>
    <t>investmetn</t>
  </si>
  <si>
    <t>scrap value</t>
  </si>
  <si>
    <t>working capital (w3)</t>
  </si>
  <si>
    <t>Net CF $</t>
  </si>
  <si>
    <t>PV at Wacc (w4)</t>
  </si>
  <si>
    <t>W1</t>
  </si>
  <si>
    <t>SP/unit</t>
  </si>
  <si>
    <t>units</t>
  </si>
  <si>
    <t>Revenue $ in M</t>
  </si>
  <si>
    <t>VC/unit</t>
  </si>
  <si>
    <t>VC $ in M</t>
  </si>
  <si>
    <t>W3</t>
  </si>
  <si>
    <t>W4</t>
  </si>
  <si>
    <t>Rf</t>
  </si>
  <si>
    <t>Rm</t>
  </si>
  <si>
    <t>MV of ATC Equity</t>
  </si>
  <si>
    <t>bank loan</t>
  </si>
  <si>
    <t>Be</t>
  </si>
  <si>
    <t>SIC</t>
  </si>
  <si>
    <t>MV of SIC equity</t>
  </si>
  <si>
    <t>MV of Debt SIC</t>
  </si>
  <si>
    <t>ungearing Be</t>
  </si>
  <si>
    <t>Ba</t>
  </si>
  <si>
    <t>Re gearing Ba with ATC data</t>
  </si>
  <si>
    <t>Be*</t>
  </si>
  <si>
    <t>Ke</t>
  </si>
  <si>
    <t xml:space="preserve">Bank loan </t>
  </si>
  <si>
    <t>Bank loan after tax</t>
  </si>
  <si>
    <t>Wacc</t>
  </si>
  <si>
    <t>Value after considering SIC offer</t>
  </si>
  <si>
    <t>S</t>
  </si>
  <si>
    <t>via formula</t>
  </si>
  <si>
    <t>this is our ans</t>
  </si>
  <si>
    <t>Strategic NPV</t>
  </si>
  <si>
    <t>Value of Project before considering SIC's offer</t>
  </si>
  <si>
    <t>Value of Project after considering SIC's offer</t>
  </si>
  <si>
    <t>Q</t>
  </si>
  <si>
    <t>Estimate option to delay</t>
  </si>
  <si>
    <t>Option to Delay is a call option, hence value will be estimated through BSOP</t>
  </si>
  <si>
    <t>PV of return from Initial investment</t>
  </si>
  <si>
    <t>million</t>
  </si>
  <si>
    <t>Initial investment</t>
  </si>
  <si>
    <t>3 years</t>
  </si>
  <si>
    <t>calculated as per formula</t>
  </si>
  <si>
    <t>NPV without option</t>
  </si>
  <si>
    <t>m</t>
  </si>
  <si>
    <t>with option</t>
  </si>
  <si>
    <t>Digunder</t>
  </si>
  <si>
    <t>WACC</t>
  </si>
  <si>
    <t>Estimate value of Option to delay</t>
  </si>
  <si>
    <t>Option to delay is a call option, hence we will use BSOP model to calculate its Value</t>
  </si>
  <si>
    <t>Value of initial investment</t>
  </si>
  <si>
    <t>PV of returns from initial Inves</t>
  </si>
  <si>
    <t>time to exercise the option</t>
  </si>
  <si>
    <t>Part B</t>
  </si>
  <si>
    <t>On the basis of valuation of option to delay overall value of the project is:</t>
  </si>
  <si>
    <t>value before considering option</t>
  </si>
  <si>
    <t>value after considering option</t>
  </si>
  <si>
    <t>Valuation Method</t>
  </si>
  <si>
    <t>The valuation method used is BSOP called Black scholes option pricing model, which is developed &amp; used to find the value of Option. An option that gives right to sell is called Put option &amp; An option gives right to buy is called call option. It considers current share price, exercise price, risk free rate, time period &amp; Standard deviation to find its value. It only considers europian style option. In order to enter into an option, Co's has to pay some premium. BSOP model finds the value of that premium.</t>
  </si>
  <si>
    <t xml:space="preserve"> </t>
  </si>
  <si>
    <t>Furlion Co</t>
  </si>
  <si>
    <t>Initial NPV</t>
  </si>
  <si>
    <t>additional investment</t>
  </si>
  <si>
    <t>PV of Returns from Add Inv(after 3 years</t>
  </si>
  <si>
    <t>(NPV + initial Investment)</t>
  </si>
  <si>
    <t>therefore its PV @ year 0</t>
  </si>
  <si>
    <t>Delta Hedge</t>
  </si>
  <si>
    <t>we have UniGlow shares</t>
  </si>
  <si>
    <t>Current Share price</t>
  </si>
  <si>
    <t>Exercise price</t>
  </si>
  <si>
    <t>time to expiry</t>
  </si>
  <si>
    <t xml:space="preserve">Standard Deviation </t>
  </si>
  <si>
    <t>Delta hedge</t>
  </si>
  <si>
    <t xml:space="preserve">No of shares </t>
  </si>
  <si>
    <t>therefore, we have to buy this no. of shares in future to hedge our 100,000 shares .</t>
  </si>
  <si>
    <t>If regular &amp; future market Pace is same the N(d1) = 1</t>
  </si>
  <si>
    <t>Mehgam Portal Practice</t>
  </si>
  <si>
    <t>`11.35</t>
  </si>
  <si>
    <t>marks</t>
  </si>
  <si>
    <t>A</t>
  </si>
  <si>
    <t>B</t>
  </si>
  <si>
    <t>`12.10</t>
  </si>
  <si>
    <t>`12.23</t>
  </si>
  <si>
    <t>`1.06</t>
  </si>
  <si>
    <t xml:space="preserve">90 mints </t>
  </si>
  <si>
    <t>Target achieved</t>
  </si>
  <si>
    <t>yeahhhhh</t>
  </si>
  <si>
    <t>FC</t>
  </si>
  <si>
    <t>Peso</t>
  </si>
  <si>
    <t>e</t>
  </si>
  <si>
    <t>MP in millions</t>
  </si>
  <si>
    <t>Working</t>
  </si>
  <si>
    <t>Exchange Rates</t>
  </si>
  <si>
    <t>sales</t>
  </si>
  <si>
    <t>costs</t>
  </si>
  <si>
    <t>Spot MP/$</t>
  </si>
  <si>
    <t>packing cost</t>
  </si>
  <si>
    <t>Inflation Mehgam</t>
  </si>
  <si>
    <t>training cost</t>
  </si>
  <si>
    <t>Inflation in US</t>
  </si>
  <si>
    <t>PBT</t>
  </si>
  <si>
    <t>tax in M 25%</t>
  </si>
  <si>
    <t>PAT</t>
  </si>
  <si>
    <t>Capital Allowance shedule</t>
  </si>
  <si>
    <t>investment</t>
  </si>
  <si>
    <t>C A</t>
  </si>
  <si>
    <t>Tax savings</t>
  </si>
  <si>
    <t>Working Capital</t>
  </si>
  <si>
    <t>TAD</t>
  </si>
  <si>
    <t>WC relased</t>
  </si>
  <si>
    <t>initial investment</t>
  </si>
  <si>
    <t>Scrap</t>
  </si>
  <si>
    <t>NCF in MP</t>
  </si>
  <si>
    <t>NCF in $</t>
  </si>
  <si>
    <t>additional tax</t>
  </si>
  <si>
    <t>CM on packing</t>
  </si>
  <si>
    <t>batch</t>
  </si>
  <si>
    <t>PV at wacc</t>
  </si>
  <si>
    <t>SP/batch</t>
  </si>
  <si>
    <t>total sales in m</t>
  </si>
  <si>
    <t>Before considering Option</t>
  </si>
  <si>
    <t>Cost</t>
  </si>
  <si>
    <t>total cost in m</t>
  </si>
  <si>
    <t>Packing cost $</t>
  </si>
  <si>
    <t>Packing cost in MP</t>
  </si>
  <si>
    <t>Buluds Offer</t>
  </si>
  <si>
    <t>$</t>
  </si>
  <si>
    <t>Standard deviation</t>
  </si>
  <si>
    <t>e^(-rt)</t>
  </si>
  <si>
    <t>Put option</t>
  </si>
  <si>
    <t>NPV before considering put option</t>
  </si>
  <si>
    <t>NPV after considering put option</t>
  </si>
  <si>
    <t>strategic NPV</t>
  </si>
  <si>
    <t>ATC</t>
  </si>
  <si>
    <t>`2.20</t>
  </si>
  <si>
    <t>start time</t>
  </si>
  <si>
    <t>`2.19</t>
  </si>
  <si>
    <t>end time</t>
  </si>
  <si>
    <t>`3.26</t>
  </si>
  <si>
    <t>savings</t>
  </si>
  <si>
    <t>greattttt</t>
  </si>
  <si>
    <t xml:space="preserve">Europe </t>
  </si>
  <si>
    <t>E</t>
  </si>
  <si>
    <t>life</t>
  </si>
  <si>
    <t>VC</t>
  </si>
  <si>
    <t>SP</t>
  </si>
  <si>
    <t>working capital (w2)</t>
  </si>
  <si>
    <t>Working capital</t>
  </si>
  <si>
    <t>tax savings (w3)</t>
  </si>
  <si>
    <t>NCF</t>
  </si>
  <si>
    <t>invest</t>
  </si>
  <si>
    <t>Cap All</t>
  </si>
  <si>
    <t>tax savigns</t>
  </si>
  <si>
    <t>SIC offer</t>
  </si>
  <si>
    <t>Ungearing SIC Be</t>
  </si>
  <si>
    <t>Equity of SIC</t>
  </si>
  <si>
    <t xml:space="preserve">risk free rate </t>
  </si>
  <si>
    <t>Debt of sic</t>
  </si>
  <si>
    <t xml:space="preserve">re gearing Ba </t>
  </si>
  <si>
    <t>Equity of ATC</t>
  </si>
  <si>
    <t>Debt of atc</t>
  </si>
  <si>
    <t>Kd</t>
  </si>
  <si>
    <t>value of option</t>
  </si>
  <si>
    <t>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</si>
</sst>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_(* #,##0.0_);_(* \(#,##0.0\);_(* &quot;-&quot;??_);_(@_)"/>
    <numFmt numFmtId="167" formatCode="_(* #,##0.0000_);_(* \(#,##0.0000\);_(* &quot;-&quot;??_);_(@_)"/>
    <numFmt numFmtId="168" formatCode="_(* #,##0.000_);_(* \(#,##0.000\);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5"/>
      <color theme="1"/>
      <name val="Calibri"/>
      <family val="2"/>
      <scheme val="minor"/>
    </font>
    <font>
      <b/>
      <u val="singleAccounting"/>
      <sz val="11"/>
      <color theme="1"/>
      <name val="Calibri"/>
      <family val="2"/>
      <scheme val="minor"/>
    </font>
    <font>
      <u val="singleAccounting"/>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3">
    <border>
      <left/>
      <right/>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89">
    <xf numFmtId="0" fontId="0" fillId="0" borderId="0" xfId="0"/>
    <xf numFmtId="164" fontId="2" fillId="0" borderId="0" xfId="1" applyFont="1"/>
    <xf numFmtId="164" fontId="0" fillId="0" borderId="0" xfId="1" applyFont="1"/>
    <xf numFmtId="9" fontId="0" fillId="0" borderId="0" xfId="2" applyFont="1"/>
    <xf numFmtId="164" fontId="0" fillId="0" borderId="1" xfId="1" applyFont="1" applyBorder="1"/>
    <xf numFmtId="164" fontId="3" fillId="0" borderId="0" xfId="1" applyFont="1"/>
    <xf numFmtId="164" fontId="0" fillId="0" borderId="2" xfId="1" applyFont="1" applyBorder="1"/>
    <xf numFmtId="164" fontId="0" fillId="0" borderId="3" xfId="1" applyFont="1" applyBorder="1"/>
    <xf numFmtId="164" fontId="4" fillId="0" borderId="3" xfId="1" applyFont="1" applyBorder="1"/>
    <xf numFmtId="164" fontId="0" fillId="0" borderId="4" xfId="1" applyFont="1" applyBorder="1"/>
    <xf numFmtId="164" fontId="0" fillId="0" borderId="5" xfId="1" applyFont="1" applyBorder="1"/>
    <xf numFmtId="164" fontId="0" fillId="0" borderId="0" xfId="1" applyFont="1" applyBorder="1"/>
    <xf numFmtId="164" fontId="0" fillId="0" borderId="6" xfId="1" applyFont="1" applyBorder="1"/>
    <xf numFmtId="164" fontId="2" fillId="0" borderId="5" xfId="1" applyFont="1" applyBorder="1"/>
    <xf numFmtId="9" fontId="0" fillId="0" borderId="0" xfId="1" applyNumberFormat="1" applyFont="1" applyBorder="1"/>
    <xf numFmtId="164" fontId="0" fillId="0" borderId="7" xfId="1" applyFont="1" applyBorder="1"/>
    <xf numFmtId="164" fontId="0" fillId="0" borderId="8" xfId="1" applyFont="1" applyBorder="1"/>
    <xf numFmtId="164" fontId="0" fillId="0" borderId="9" xfId="1" applyFont="1" applyBorder="1"/>
    <xf numFmtId="164" fontId="2" fillId="0" borderId="2" xfId="1" applyFont="1" applyBorder="1"/>
    <xf numFmtId="164" fontId="4" fillId="0" borderId="0" xfId="1" applyFont="1" applyBorder="1"/>
    <xf numFmtId="164" fontId="4" fillId="0" borderId="6" xfId="1" applyFont="1" applyBorder="1"/>
    <xf numFmtId="9" fontId="0" fillId="0" borderId="8" xfId="1" applyNumberFormat="1" applyFont="1" applyBorder="1"/>
    <xf numFmtId="165" fontId="4" fillId="0" borderId="0" xfId="1" applyNumberFormat="1" applyFont="1" applyBorder="1"/>
    <xf numFmtId="165" fontId="4" fillId="0" borderId="6" xfId="1" applyNumberFormat="1" applyFont="1" applyBorder="1"/>
    <xf numFmtId="165" fontId="0" fillId="0" borderId="0" xfId="1" applyNumberFormat="1" applyFont="1" applyBorder="1"/>
    <xf numFmtId="165" fontId="0" fillId="0" borderId="6" xfId="1" applyNumberFormat="1" applyFont="1" applyBorder="1"/>
    <xf numFmtId="165" fontId="0" fillId="0" borderId="1" xfId="1" applyNumberFormat="1" applyFont="1" applyBorder="1"/>
    <xf numFmtId="165" fontId="0" fillId="0" borderId="10" xfId="1" applyNumberFormat="1" applyFont="1" applyBorder="1"/>
    <xf numFmtId="164" fontId="2" fillId="0" borderId="0" xfId="1" applyFont="1" applyBorder="1"/>
    <xf numFmtId="165" fontId="2" fillId="0" borderId="0" xfId="1" applyNumberFormat="1" applyFont="1" applyBorder="1"/>
    <xf numFmtId="165" fontId="2" fillId="0" borderId="6" xfId="1" applyNumberFormat="1" applyFont="1" applyBorder="1"/>
    <xf numFmtId="165" fontId="1" fillId="0" borderId="0" xfId="1" applyNumberFormat="1" applyFont="1" applyBorder="1"/>
    <xf numFmtId="165" fontId="1" fillId="0" borderId="6" xfId="1" applyNumberFormat="1" applyFont="1" applyBorder="1"/>
    <xf numFmtId="165" fontId="2" fillId="2" borderId="6" xfId="1" applyNumberFormat="1" applyFont="1" applyFill="1" applyBorder="1"/>
    <xf numFmtId="166" fontId="0" fillId="0" borderId="0" xfId="1" applyNumberFormat="1" applyFont="1" applyBorder="1"/>
    <xf numFmtId="166" fontId="0" fillId="0" borderId="6" xfId="1" applyNumberFormat="1" applyFont="1" applyBorder="1"/>
    <xf numFmtId="164" fontId="0" fillId="0" borderId="10" xfId="1" applyFont="1" applyBorder="1"/>
    <xf numFmtId="164" fontId="2" fillId="0" borderId="0" xfId="1" applyNumberFormat="1" applyFont="1" applyBorder="1"/>
    <xf numFmtId="164" fontId="2" fillId="0" borderId="6" xfId="1" applyNumberFormat="1" applyFont="1" applyBorder="1"/>
    <xf numFmtId="164" fontId="2" fillId="0" borderId="7" xfId="1" applyFont="1" applyBorder="1"/>
    <xf numFmtId="164" fontId="2" fillId="0" borderId="8" xfId="1" applyFont="1" applyBorder="1"/>
    <xf numFmtId="164" fontId="2" fillId="0" borderId="8" xfId="1" applyNumberFormat="1" applyFont="1" applyBorder="1"/>
    <xf numFmtId="165" fontId="0" fillId="0" borderId="8" xfId="1" applyNumberFormat="1" applyFont="1" applyBorder="1"/>
    <xf numFmtId="165" fontId="0" fillId="0" borderId="9" xfId="1" applyNumberFormat="1" applyFont="1" applyBorder="1"/>
    <xf numFmtId="165" fontId="0" fillId="0" borderId="3" xfId="1" applyNumberFormat="1" applyFont="1" applyBorder="1"/>
    <xf numFmtId="165" fontId="0" fillId="0" borderId="4" xfId="1" applyNumberFormat="1" applyFont="1" applyBorder="1"/>
    <xf numFmtId="165" fontId="0" fillId="0" borderId="0" xfId="1" applyNumberFormat="1" applyFont="1"/>
    <xf numFmtId="9" fontId="0" fillId="0" borderId="0" xfId="1" applyNumberFormat="1" applyFont="1"/>
    <xf numFmtId="167" fontId="0" fillId="0" borderId="0" xfId="1" applyNumberFormat="1" applyFont="1"/>
    <xf numFmtId="164" fontId="2" fillId="0" borderId="3" xfId="1" applyFont="1" applyBorder="1"/>
    <xf numFmtId="168" fontId="2" fillId="0" borderId="4" xfId="1" applyNumberFormat="1" applyFont="1" applyBorder="1"/>
    <xf numFmtId="164" fontId="0" fillId="0" borderId="0" xfId="1" applyNumberFormat="1" applyFont="1"/>
    <xf numFmtId="168" fontId="2" fillId="0" borderId="9" xfId="1" applyNumberFormat="1" applyFont="1" applyBorder="1"/>
    <xf numFmtId="165" fontId="2" fillId="0" borderId="0" xfId="1" applyNumberFormat="1" applyFont="1"/>
    <xf numFmtId="165" fontId="4" fillId="0" borderId="0" xfId="1" applyNumberFormat="1" applyFont="1"/>
    <xf numFmtId="164" fontId="2" fillId="0" borderId="6" xfId="1" applyFont="1" applyBorder="1"/>
    <xf numFmtId="10" fontId="0" fillId="0" borderId="5" xfId="1" applyNumberFormat="1" applyFont="1" applyBorder="1"/>
    <xf numFmtId="164" fontId="2" fillId="0" borderId="11" xfId="1" applyFont="1" applyBorder="1"/>
    <xf numFmtId="164" fontId="2" fillId="0" borderId="12" xfId="1" applyFont="1" applyBorder="1"/>
    <xf numFmtId="167" fontId="2" fillId="0" borderId="13" xfId="1" applyNumberFormat="1" applyFont="1" applyBorder="1"/>
    <xf numFmtId="165" fontId="4" fillId="0" borderId="3" xfId="1" applyNumberFormat="1" applyFont="1" applyBorder="1"/>
    <xf numFmtId="165" fontId="4" fillId="0" borderId="4" xfId="1" applyNumberFormat="1" applyFont="1" applyBorder="1"/>
    <xf numFmtId="168" fontId="0" fillId="0" borderId="8" xfId="1" applyNumberFormat="1" applyFont="1" applyBorder="1"/>
    <xf numFmtId="168" fontId="0" fillId="0" borderId="9" xfId="1" applyNumberFormat="1" applyFont="1" applyBorder="1"/>
    <xf numFmtId="164" fontId="0" fillId="0" borderId="11" xfId="1" applyFont="1" applyBorder="1"/>
    <xf numFmtId="164" fontId="0" fillId="0" borderId="12" xfId="1" applyFont="1" applyBorder="1"/>
    <xf numFmtId="164" fontId="0" fillId="0" borderId="13" xfId="1" applyFont="1" applyBorder="1"/>
    <xf numFmtId="10" fontId="0" fillId="0" borderId="0" xfId="2" applyNumberFormat="1" applyFont="1" applyBorder="1"/>
    <xf numFmtId="10" fontId="0" fillId="0" borderId="8" xfId="2" applyNumberFormat="1" applyFont="1" applyBorder="1"/>
    <xf numFmtId="164" fontId="0" fillId="0" borderId="14" xfId="1" applyFont="1" applyBorder="1"/>
    <xf numFmtId="164" fontId="0" fillId="0" borderId="15" xfId="1" applyFont="1" applyBorder="1"/>
    <xf numFmtId="164" fontId="0" fillId="0" borderId="16" xfId="1" applyFont="1" applyBorder="1"/>
    <xf numFmtId="164" fontId="0" fillId="0" borderId="17" xfId="1" applyFont="1" applyBorder="1"/>
    <xf numFmtId="164" fontId="0" fillId="0" borderId="18" xfId="1" applyFont="1" applyBorder="1"/>
    <xf numFmtId="164" fontId="2" fillId="0" borderId="18" xfId="1" applyFont="1" applyBorder="1"/>
    <xf numFmtId="165" fontId="2" fillId="0" borderId="13" xfId="1" applyNumberFormat="1" applyFont="1" applyBorder="1"/>
    <xf numFmtId="164" fontId="0" fillId="0" borderId="19" xfId="1" applyFont="1" applyBorder="1"/>
    <xf numFmtId="165" fontId="0" fillId="0" borderId="20" xfId="1" applyNumberFormat="1" applyFont="1" applyBorder="1"/>
    <xf numFmtId="164" fontId="4" fillId="0" borderId="0" xfId="1" applyFont="1"/>
    <xf numFmtId="164" fontId="5" fillId="0" borderId="0" xfId="1" applyFont="1"/>
    <xf numFmtId="164" fontId="0" fillId="0" borderId="0" xfId="1" applyFont="1" applyAlignment="1"/>
    <xf numFmtId="165" fontId="0" fillId="0" borderId="0" xfId="1" applyNumberFormat="1" applyFont="1" applyAlignment="1"/>
    <xf numFmtId="164" fontId="2" fillId="0" borderId="0" xfId="1" applyFont="1" applyAlignment="1"/>
    <xf numFmtId="167" fontId="2" fillId="0" borderId="0" xfId="1" applyNumberFormat="1" applyFont="1"/>
    <xf numFmtId="164" fontId="2" fillId="0" borderId="21" xfId="1" applyFont="1" applyBorder="1"/>
    <xf numFmtId="167" fontId="2" fillId="0" borderId="22" xfId="1" applyNumberFormat="1" applyFont="1" applyBorder="1"/>
    <xf numFmtId="164" fontId="4" fillId="0" borderId="0" xfId="1" applyFont="1" applyAlignment="1">
      <alignment horizontal="center" vertical="center"/>
    </xf>
    <xf numFmtId="164" fontId="2" fillId="0" borderId="0" xfId="1" applyFont="1" applyAlignment="1">
      <alignment horizontal="center"/>
    </xf>
    <xf numFmtId="10" fontId="0" fillId="0" borderId="0" xfId="1"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5940</xdr:colOff>
      <xdr:row>174</xdr:row>
      <xdr:rowOff>160735</xdr:rowOff>
    </xdr:from>
    <xdr:to>
      <xdr:col>10</xdr:col>
      <xdr:colOff>271846</xdr:colOff>
      <xdr:row>190</xdr:row>
      <xdr:rowOff>169160</xdr:rowOff>
    </xdr:to>
    <xdr:pic>
      <xdr:nvPicPr>
        <xdr:cNvPr id="2" name="Picture 1"/>
        <xdr:cNvPicPr/>
      </xdr:nvPicPr>
      <xdr:blipFill>
        <a:blip xmlns:r="http://schemas.openxmlformats.org/officeDocument/2006/relationships" r:embed="rId1"/>
        <a:srcRect/>
        <a:stretch>
          <a:fillRect/>
        </a:stretch>
      </xdr:blipFill>
      <xdr:spPr bwMode="auto">
        <a:xfrm>
          <a:off x="4701765" y="33583960"/>
          <a:ext cx="3313906" cy="3056425"/>
        </a:xfrm>
        <a:prstGeom prst="rect">
          <a:avLst/>
        </a:prstGeom>
        <a:noFill/>
        <a:ln w="9525">
          <a:noFill/>
          <a:miter lim="800000"/>
          <a:headEnd/>
          <a:tailEnd/>
        </a:ln>
      </xdr:spPr>
    </xdr:pic>
    <xdr:clientData/>
  </xdr:twoCellAnchor>
  <xdr:twoCellAnchor editAs="oneCell">
    <xdr:from>
      <xdr:col>5</xdr:col>
      <xdr:colOff>0</xdr:colOff>
      <xdr:row>281</xdr:row>
      <xdr:rowOff>5953</xdr:rowOff>
    </xdr:from>
    <xdr:to>
      <xdr:col>10</xdr:col>
      <xdr:colOff>265906</xdr:colOff>
      <xdr:row>296</xdr:row>
      <xdr:rowOff>181066</xdr:rowOff>
    </xdr:to>
    <xdr:pic>
      <xdr:nvPicPr>
        <xdr:cNvPr id="3" name="Picture 2"/>
        <xdr:cNvPicPr/>
      </xdr:nvPicPr>
      <xdr:blipFill>
        <a:blip xmlns:r="http://schemas.openxmlformats.org/officeDocument/2006/relationships" r:embed="rId1"/>
        <a:srcRect/>
        <a:stretch>
          <a:fillRect/>
        </a:stretch>
      </xdr:blipFill>
      <xdr:spPr bwMode="auto">
        <a:xfrm>
          <a:off x="4695825" y="53955553"/>
          <a:ext cx="3313906" cy="305166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1"/>
  <sheetViews>
    <sheetView tabSelected="1" topLeftCell="A170" zoomScale="150" zoomScaleNormal="150" workbookViewId="0">
      <selection activeCell="A184" sqref="A184"/>
    </sheetView>
  </sheetViews>
  <sheetFormatPr defaultRowHeight="15" x14ac:dyDescent="0.25"/>
  <cols>
    <col min="1" max="1" width="25.7109375" style="2" customWidth="1"/>
    <col min="2" max="2" width="11.7109375" style="2" customWidth="1"/>
    <col min="3" max="3" width="12.140625" style="46" customWidth="1"/>
    <col min="4" max="4" width="11.7109375" style="46" bestFit="1" customWidth="1"/>
    <col min="5" max="8" width="9.140625" style="46"/>
    <col min="9" max="10" width="9.140625" style="2"/>
    <col min="11" max="11" width="9.5703125" style="2" bestFit="1" customWidth="1"/>
    <col min="12" max="13" width="10.5703125" style="2" bestFit="1" customWidth="1"/>
    <col min="14" max="14" width="12" style="2" bestFit="1" customWidth="1"/>
    <col min="15" max="15" width="10.5703125" style="2" bestFit="1" customWidth="1"/>
    <col min="16" max="16384" width="9.140625" style="2"/>
  </cols>
  <sheetData>
    <row r="1" spans="1:6" s="2" customFormat="1" x14ac:dyDescent="0.25">
      <c r="A1" s="1" t="s">
        <v>0</v>
      </c>
    </row>
    <row r="2" spans="1:6" s="2" customFormat="1" x14ac:dyDescent="0.25"/>
    <row r="3" spans="1:6" s="2" customFormat="1" x14ac:dyDescent="0.25">
      <c r="A3" s="1" t="s">
        <v>1</v>
      </c>
    </row>
    <row r="4" spans="1:6" s="2" customFormat="1" x14ac:dyDescent="0.25">
      <c r="A4" s="2" t="s">
        <v>2</v>
      </c>
      <c r="C4" s="2" t="s">
        <v>3</v>
      </c>
      <c r="D4" s="2">
        <v>95</v>
      </c>
    </row>
    <row r="5" spans="1:6" s="2" customFormat="1" x14ac:dyDescent="0.25">
      <c r="A5" s="2" t="s">
        <v>4</v>
      </c>
      <c r="C5" s="2" t="s">
        <v>5</v>
      </c>
      <c r="D5" s="2">
        <v>100</v>
      </c>
    </row>
    <row r="6" spans="1:6" s="2" customFormat="1" x14ac:dyDescent="0.25">
      <c r="A6" s="2" t="s">
        <v>6</v>
      </c>
      <c r="C6" s="2" t="s">
        <v>7</v>
      </c>
      <c r="D6" s="3">
        <v>0.08</v>
      </c>
    </row>
    <row r="7" spans="1:6" s="2" customFormat="1" x14ac:dyDescent="0.25">
      <c r="A7" s="2" t="s">
        <v>8</v>
      </c>
      <c r="C7" s="2" t="s">
        <v>9</v>
      </c>
      <c r="D7" s="2" t="s">
        <v>10</v>
      </c>
      <c r="E7" s="2">
        <f>3/12</f>
        <v>0.25</v>
      </c>
      <c r="F7" s="2" t="s">
        <v>11</v>
      </c>
    </row>
    <row r="8" spans="1:6" s="2" customFormat="1" x14ac:dyDescent="0.25">
      <c r="A8" s="2" t="s">
        <v>12</v>
      </c>
      <c r="C8" s="2" t="s">
        <v>13</v>
      </c>
      <c r="D8" s="2">
        <v>0.3</v>
      </c>
    </row>
    <row r="9" spans="1:6" s="2" customFormat="1" x14ac:dyDescent="0.25"/>
    <row r="10" spans="1:6" s="2" customFormat="1" x14ac:dyDescent="0.25">
      <c r="A10" s="1" t="s">
        <v>14</v>
      </c>
    </row>
    <row r="11" spans="1:6" s="2" customFormat="1" x14ac:dyDescent="0.25">
      <c r="A11" s="2" t="s">
        <v>15</v>
      </c>
    </row>
    <row r="12" spans="1:6" s="2" customFormat="1" x14ac:dyDescent="0.25"/>
    <row r="13" spans="1:6" s="2" customFormat="1" x14ac:dyDescent="0.25">
      <c r="A13" s="2" t="s">
        <v>16</v>
      </c>
    </row>
    <row r="14" spans="1:6" s="2" customFormat="1" x14ac:dyDescent="0.25">
      <c r="A14" s="1" t="s">
        <v>17</v>
      </c>
      <c r="B14" s="2" t="s">
        <v>18</v>
      </c>
    </row>
    <row r="15" spans="1:6" s="2" customFormat="1" x14ac:dyDescent="0.25">
      <c r="B15" s="2">
        <f>(2.7183)^-D6*E7</f>
        <v>0.23077896317762442</v>
      </c>
    </row>
    <row r="16" spans="1:6" s="2" customFormat="1" x14ac:dyDescent="0.25"/>
    <row r="17" spans="1:7" s="2" customFormat="1" x14ac:dyDescent="0.25">
      <c r="A17" s="1" t="s">
        <v>19</v>
      </c>
    </row>
    <row r="18" spans="1:7" s="2" customFormat="1" x14ac:dyDescent="0.25"/>
    <row r="19" spans="1:7" s="2" customFormat="1" ht="15.75" thickBot="1" x14ac:dyDescent="0.3">
      <c r="A19" s="2" t="s">
        <v>20</v>
      </c>
      <c r="B19" s="4" t="s">
        <v>21</v>
      </c>
      <c r="C19" s="4"/>
      <c r="D19" s="4"/>
    </row>
    <row r="20" spans="1:7" s="2" customFormat="1" x14ac:dyDescent="0.25">
      <c r="C20" s="2" t="s">
        <v>22</v>
      </c>
    </row>
    <row r="21" spans="1:7" s="2" customFormat="1" x14ac:dyDescent="0.25">
      <c r="A21" s="2" t="s">
        <v>20</v>
      </c>
      <c r="B21" s="2">
        <v>-0.1336</v>
      </c>
    </row>
    <row r="22" spans="1:7" s="2" customFormat="1" x14ac:dyDescent="0.25">
      <c r="B22" s="2" t="s">
        <v>23</v>
      </c>
    </row>
    <row r="23" spans="1:7" s="2" customFormat="1" x14ac:dyDescent="0.25">
      <c r="A23" s="2" t="s">
        <v>20</v>
      </c>
      <c r="B23" s="2">
        <v>-0.13</v>
      </c>
    </row>
    <row r="24" spans="1:7" s="2" customFormat="1" x14ac:dyDescent="0.25"/>
    <row r="25" spans="1:7" s="2" customFormat="1" x14ac:dyDescent="0.25">
      <c r="A25" s="2" t="s">
        <v>24</v>
      </c>
      <c r="B25" s="2" t="s">
        <v>25</v>
      </c>
    </row>
    <row r="26" spans="1:7" s="2" customFormat="1" x14ac:dyDescent="0.25">
      <c r="A26" s="2" t="s">
        <v>24</v>
      </c>
      <c r="B26" s="2" t="s">
        <v>26</v>
      </c>
    </row>
    <row r="27" spans="1:7" s="2" customFormat="1" x14ac:dyDescent="0.25">
      <c r="A27" s="2" t="s">
        <v>24</v>
      </c>
      <c r="B27" s="2">
        <v>-0.28000000000000003</v>
      </c>
    </row>
    <row r="28" spans="1:7" s="2" customFormat="1" x14ac:dyDescent="0.25"/>
    <row r="29" spans="1:7" s="2" customFormat="1" x14ac:dyDescent="0.25">
      <c r="A29" s="1" t="s">
        <v>27</v>
      </c>
    </row>
    <row r="30" spans="1:7" s="2" customFormat="1" x14ac:dyDescent="0.25"/>
    <row r="31" spans="1:7" s="2" customFormat="1" x14ac:dyDescent="0.25">
      <c r="A31" s="2" t="s">
        <v>28</v>
      </c>
      <c r="B31" s="2" t="s">
        <v>29</v>
      </c>
      <c r="C31" s="2">
        <v>-0.13</v>
      </c>
      <c r="D31" s="2" t="s">
        <v>30</v>
      </c>
      <c r="F31" s="2">
        <v>0.1</v>
      </c>
      <c r="G31" s="2">
        <v>0.03</v>
      </c>
    </row>
    <row r="32" spans="1:7" s="2" customFormat="1" x14ac:dyDescent="0.25">
      <c r="B32" s="2" t="s">
        <v>31</v>
      </c>
    </row>
    <row r="33" spans="1:7" s="2" customFormat="1" x14ac:dyDescent="0.25">
      <c r="B33" s="2">
        <v>5.1700000000000003E-2</v>
      </c>
    </row>
    <row r="34" spans="1:7" s="2" customFormat="1" x14ac:dyDescent="0.25">
      <c r="B34" s="2" t="s">
        <v>32</v>
      </c>
    </row>
    <row r="35" spans="1:7" s="2" customFormat="1" x14ac:dyDescent="0.25">
      <c r="B35" s="2">
        <f>0.5-B33</f>
        <v>0.44829999999999998</v>
      </c>
    </row>
    <row r="36" spans="1:7" s="2" customFormat="1" x14ac:dyDescent="0.25"/>
    <row r="37" spans="1:7" s="2" customFormat="1" x14ac:dyDescent="0.25">
      <c r="A37" s="2" t="s">
        <v>33</v>
      </c>
      <c r="B37" s="2" t="s">
        <v>29</v>
      </c>
      <c r="C37" s="2">
        <v>-0.28000000000000003</v>
      </c>
      <c r="D37" s="2" t="s">
        <v>30</v>
      </c>
      <c r="F37" s="2">
        <v>0.2</v>
      </c>
      <c r="G37" s="2">
        <v>0.08</v>
      </c>
    </row>
    <row r="38" spans="1:7" s="2" customFormat="1" x14ac:dyDescent="0.25">
      <c r="B38" s="2" t="s">
        <v>31</v>
      </c>
    </row>
    <row r="39" spans="1:7" s="2" customFormat="1" x14ac:dyDescent="0.25">
      <c r="B39" s="2">
        <v>0.1103</v>
      </c>
    </row>
    <row r="40" spans="1:7" s="2" customFormat="1" x14ac:dyDescent="0.25">
      <c r="B40" s="2" t="s">
        <v>32</v>
      </c>
    </row>
    <row r="41" spans="1:7" s="2" customFormat="1" x14ac:dyDescent="0.25">
      <c r="B41" s="2">
        <f>0.5-B39</f>
        <v>0.38969999999999999</v>
      </c>
    </row>
    <row r="42" spans="1:7" s="2" customFormat="1" x14ac:dyDescent="0.25"/>
    <row r="43" spans="1:7" s="2" customFormat="1" x14ac:dyDescent="0.25">
      <c r="A43" s="1" t="s">
        <v>34</v>
      </c>
    </row>
    <row r="44" spans="1:7" s="2" customFormat="1" x14ac:dyDescent="0.25">
      <c r="A44" s="1" t="s">
        <v>35</v>
      </c>
    </row>
    <row r="45" spans="1:7" s="2" customFormat="1" x14ac:dyDescent="0.25">
      <c r="A45" s="2" t="s">
        <v>36</v>
      </c>
      <c r="B45" s="2" t="s">
        <v>29</v>
      </c>
      <c r="C45" s="2" t="s">
        <v>37</v>
      </c>
    </row>
    <row r="46" spans="1:7" s="2" customFormat="1" x14ac:dyDescent="0.25">
      <c r="A46" s="1" t="s">
        <v>36</v>
      </c>
      <c r="B46" s="1" t="s">
        <v>29</v>
      </c>
      <c r="C46" s="1">
        <f>D4*B35-D5*B41*(2.1783^(-D6*D8))</f>
        <v>4.3398966758379487</v>
      </c>
    </row>
    <row r="47" spans="1:7" s="2" customFormat="1" x14ac:dyDescent="0.25"/>
    <row r="48" spans="1:7" s="2" customFormat="1" x14ac:dyDescent="0.25">
      <c r="A48" s="1" t="s">
        <v>38</v>
      </c>
    </row>
    <row r="49" spans="1:5" s="2" customFormat="1" x14ac:dyDescent="0.25">
      <c r="A49" s="2" t="s">
        <v>39</v>
      </c>
      <c r="B49" s="2" t="s">
        <v>29</v>
      </c>
      <c r="C49" s="2" t="s">
        <v>40</v>
      </c>
    </row>
    <row r="50" spans="1:5" s="2" customFormat="1" x14ac:dyDescent="0.25">
      <c r="A50" s="1" t="s">
        <v>39</v>
      </c>
      <c r="B50" s="1" t="s">
        <v>29</v>
      </c>
      <c r="C50" s="1">
        <f>C46-D4+D5*(2.7183^(-D6*D8))</f>
        <v>6.968451988303741</v>
      </c>
    </row>
    <row r="51" spans="1:5" s="2" customFormat="1" x14ac:dyDescent="0.25"/>
    <row r="52" spans="1:5" s="2" customFormat="1" x14ac:dyDescent="0.25">
      <c r="A52" s="1" t="s">
        <v>41</v>
      </c>
    </row>
    <row r="53" spans="1:5" s="2" customFormat="1" x14ac:dyDescent="0.25">
      <c r="A53" s="2" t="s">
        <v>2</v>
      </c>
      <c r="C53" s="2" t="s">
        <v>3</v>
      </c>
      <c r="D53" s="2">
        <v>3.5</v>
      </c>
    </row>
    <row r="54" spans="1:5" s="2" customFormat="1" x14ac:dyDescent="0.25">
      <c r="A54" s="1" t="s">
        <v>42</v>
      </c>
      <c r="C54" s="2" t="s">
        <v>5</v>
      </c>
      <c r="D54" s="2">
        <v>3.3</v>
      </c>
    </row>
    <row r="55" spans="1:5" s="2" customFormat="1" x14ac:dyDescent="0.25">
      <c r="A55" s="2" t="s">
        <v>43</v>
      </c>
      <c r="C55" s="2" t="s">
        <v>9</v>
      </c>
      <c r="D55" s="2">
        <f>3/12</f>
        <v>0.25</v>
      </c>
      <c r="E55" s="2" t="s">
        <v>10</v>
      </c>
    </row>
    <row r="56" spans="1:5" s="2" customFormat="1" x14ac:dyDescent="0.25">
      <c r="A56" s="1" t="s">
        <v>44</v>
      </c>
      <c r="C56" s="2" t="s">
        <v>45</v>
      </c>
      <c r="D56" s="2">
        <v>0.08</v>
      </c>
    </row>
    <row r="57" spans="1:5" s="2" customFormat="1" x14ac:dyDescent="0.25">
      <c r="A57" s="2" t="s">
        <v>46</v>
      </c>
      <c r="C57" s="2" t="s">
        <v>13</v>
      </c>
      <c r="D57" s="2">
        <v>0.34639999999999999</v>
      </c>
    </row>
    <row r="58" spans="1:5" s="2" customFormat="1" x14ac:dyDescent="0.25"/>
    <row r="59" spans="1:5" s="2" customFormat="1" x14ac:dyDescent="0.25">
      <c r="A59" s="1" t="s">
        <v>17</v>
      </c>
    </row>
    <row r="60" spans="1:5" s="2" customFormat="1" x14ac:dyDescent="0.25">
      <c r="A60" s="2" t="s">
        <v>47</v>
      </c>
      <c r="C60" s="2">
        <v>0.98019999999999996</v>
      </c>
    </row>
    <row r="61" spans="1:5" s="2" customFormat="1" x14ac:dyDescent="0.25"/>
    <row r="62" spans="1:5" s="2" customFormat="1" x14ac:dyDescent="0.25">
      <c r="A62" s="1" t="s">
        <v>48</v>
      </c>
    </row>
    <row r="63" spans="1:5" s="2" customFormat="1" ht="15.75" thickBot="1" x14ac:dyDescent="0.3">
      <c r="A63" s="2" t="s">
        <v>49</v>
      </c>
      <c r="B63" s="2" t="s">
        <v>29</v>
      </c>
      <c r="C63" s="4" t="s">
        <v>21</v>
      </c>
      <c r="D63" s="4"/>
      <c r="E63" s="4"/>
    </row>
    <row r="64" spans="1:5" s="2" customFormat="1" x14ac:dyDescent="0.25">
      <c r="D64" s="2" t="s">
        <v>22</v>
      </c>
    </row>
    <row r="65" spans="1:6" s="2" customFormat="1" x14ac:dyDescent="0.25">
      <c r="A65" s="2" t="s">
        <v>49</v>
      </c>
      <c r="B65" s="2" t="s">
        <v>29</v>
      </c>
      <c r="C65" s="2">
        <v>1.1479999999999999</v>
      </c>
    </row>
    <row r="66" spans="1:6" s="2" customFormat="1" x14ac:dyDescent="0.25"/>
    <row r="67" spans="1:6" s="2" customFormat="1" x14ac:dyDescent="0.25">
      <c r="A67" s="2" t="s">
        <v>50</v>
      </c>
      <c r="B67" s="2" t="s">
        <v>29</v>
      </c>
      <c r="C67" s="2" t="s">
        <v>25</v>
      </c>
    </row>
    <row r="68" spans="1:6" s="2" customFormat="1" x14ac:dyDescent="0.25">
      <c r="B68" s="2" t="s">
        <v>29</v>
      </c>
      <c r="D68" s="2" t="s">
        <v>51</v>
      </c>
      <c r="E68" s="2">
        <v>2.61</v>
      </c>
    </row>
    <row r="69" spans="1:6" s="2" customFormat="1" x14ac:dyDescent="0.25"/>
    <row r="70" spans="1:6" s="2" customFormat="1" x14ac:dyDescent="0.25">
      <c r="A70" s="1" t="s">
        <v>52</v>
      </c>
      <c r="B70" s="1" t="s">
        <v>53</v>
      </c>
    </row>
    <row r="71" spans="1:6" s="2" customFormat="1" x14ac:dyDescent="0.25"/>
    <row r="72" spans="1:6" s="2" customFormat="1" x14ac:dyDescent="0.25">
      <c r="A72" s="2" t="s">
        <v>49</v>
      </c>
      <c r="B72" s="2">
        <v>2.64</v>
      </c>
      <c r="D72" s="2">
        <v>2.6</v>
      </c>
      <c r="F72" s="2">
        <v>0.04</v>
      </c>
    </row>
    <row r="73" spans="1:6" s="2" customFormat="1" x14ac:dyDescent="0.25">
      <c r="A73" s="1" t="s">
        <v>28</v>
      </c>
      <c r="B73" s="1">
        <f>0.4959+0.5</f>
        <v>0.99590000000000001</v>
      </c>
    </row>
    <row r="74" spans="1:6" s="2" customFormat="1" x14ac:dyDescent="0.25"/>
    <row r="75" spans="1:6" s="2" customFormat="1" x14ac:dyDescent="0.25">
      <c r="A75" s="2" t="s">
        <v>49</v>
      </c>
      <c r="B75" s="2">
        <f>E68</f>
        <v>2.61</v>
      </c>
      <c r="D75" s="2">
        <v>2.6</v>
      </c>
      <c r="F75" s="2">
        <v>0.01</v>
      </c>
    </row>
    <row r="76" spans="1:6" s="2" customFormat="1" x14ac:dyDescent="0.25">
      <c r="A76" s="1" t="s">
        <v>33</v>
      </c>
      <c r="B76" s="1">
        <f>0.4955+0.5</f>
        <v>0.99550000000000005</v>
      </c>
    </row>
    <row r="77" spans="1:6" s="2" customFormat="1" x14ac:dyDescent="0.25"/>
    <row r="78" spans="1:6" s="2" customFormat="1" x14ac:dyDescent="0.25">
      <c r="A78" s="1" t="s">
        <v>54</v>
      </c>
      <c r="B78" s="1" t="s">
        <v>55</v>
      </c>
    </row>
    <row r="79" spans="1:6" s="2" customFormat="1" x14ac:dyDescent="0.25">
      <c r="A79" s="1" t="s">
        <v>35</v>
      </c>
    </row>
    <row r="80" spans="1:6" s="2" customFormat="1" x14ac:dyDescent="0.25">
      <c r="A80" s="2" t="s">
        <v>36</v>
      </c>
      <c r="B80" s="2" t="s">
        <v>29</v>
      </c>
      <c r="C80" s="2" t="s">
        <v>37</v>
      </c>
    </row>
    <row r="81" spans="1:3" s="2" customFormat="1" x14ac:dyDescent="0.25">
      <c r="A81" s="1" t="s">
        <v>36</v>
      </c>
      <c r="B81" s="1" t="s">
        <v>29</v>
      </c>
      <c r="C81" s="1">
        <f>D53*B73-D54*B76*C60</f>
        <v>0.26554597000000069</v>
      </c>
    </row>
    <row r="82" spans="1:3" s="2" customFormat="1" x14ac:dyDescent="0.25"/>
    <row r="83" spans="1:3" s="2" customFormat="1" x14ac:dyDescent="0.25">
      <c r="A83" s="1"/>
    </row>
    <row r="84" spans="1:3" s="2" customFormat="1" x14ac:dyDescent="0.25"/>
    <row r="85" spans="1:3" s="2" customFormat="1" x14ac:dyDescent="0.25">
      <c r="A85" s="1"/>
      <c r="B85" s="1"/>
      <c r="C85" s="1"/>
    </row>
    <row r="86" spans="1:3" s="2" customFormat="1" x14ac:dyDescent="0.25"/>
    <row r="87" spans="1:3" s="2" customFormat="1" x14ac:dyDescent="0.25"/>
    <row r="88" spans="1:3" s="2" customFormat="1" x14ac:dyDescent="0.25"/>
    <row r="89" spans="1:3" s="2" customFormat="1" x14ac:dyDescent="0.25"/>
    <row r="90" spans="1:3" s="2" customFormat="1" x14ac:dyDescent="0.25"/>
    <row r="91" spans="1:3" s="2" customFormat="1" x14ac:dyDescent="0.25"/>
    <row r="92" spans="1:3" s="2" customFormat="1" x14ac:dyDescent="0.25"/>
    <row r="93" spans="1:3" s="2" customFormat="1" x14ac:dyDescent="0.25"/>
    <row r="94" spans="1:3" s="2" customFormat="1" x14ac:dyDescent="0.25"/>
    <row r="95" spans="1:3" s="2" customFormat="1" x14ac:dyDescent="0.25"/>
    <row r="96" spans="1:3" s="2" customFormat="1" x14ac:dyDescent="0.25"/>
    <row r="97" spans="1:8" ht="19.5" x14ac:dyDescent="0.3">
      <c r="A97" s="5" t="s">
        <v>56</v>
      </c>
      <c r="C97" s="2"/>
      <c r="D97" s="2"/>
      <c r="E97" s="2"/>
      <c r="F97" s="2"/>
      <c r="G97" s="2"/>
      <c r="H97" s="2"/>
    </row>
    <row r="98" spans="1:8" x14ac:dyDescent="0.25">
      <c r="C98" s="2"/>
      <c r="D98" s="2"/>
      <c r="E98" s="2"/>
      <c r="F98" s="2"/>
      <c r="G98" s="2"/>
      <c r="H98" s="2"/>
    </row>
    <row r="99" spans="1:8" x14ac:dyDescent="0.25">
      <c r="A99" s="1" t="s">
        <v>57</v>
      </c>
      <c r="C99" s="2"/>
      <c r="D99" s="2"/>
      <c r="E99" s="2"/>
      <c r="F99" s="2"/>
      <c r="G99" s="2"/>
      <c r="H99" s="2"/>
    </row>
    <row r="100" spans="1:8" ht="17.25" x14ac:dyDescent="0.4">
      <c r="A100" s="6" t="s">
        <v>58</v>
      </c>
      <c r="B100" s="7" t="s">
        <v>59</v>
      </c>
      <c r="C100" s="7" t="s">
        <v>60</v>
      </c>
      <c r="D100" s="7"/>
      <c r="E100" s="8" t="s">
        <v>61</v>
      </c>
      <c r="F100" s="8" t="s">
        <v>62</v>
      </c>
      <c r="G100" s="8" t="s">
        <v>63</v>
      </c>
      <c r="H100" s="9"/>
    </row>
    <row r="101" spans="1:8" x14ac:dyDescent="0.25">
      <c r="A101" s="10" t="s">
        <v>64</v>
      </c>
      <c r="B101" s="11"/>
      <c r="C101" s="11" t="s">
        <v>65</v>
      </c>
      <c r="D101" s="11"/>
      <c r="E101" s="11">
        <v>1</v>
      </c>
      <c r="F101" s="11">
        <f>$B$104*$B$105</f>
        <v>125</v>
      </c>
      <c r="G101" s="11">
        <f>F101*25%</f>
        <v>31.25</v>
      </c>
      <c r="H101" s="12"/>
    </row>
    <row r="102" spans="1:8" x14ac:dyDescent="0.25">
      <c r="A102" s="10"/>
      <c r="B102" s="11"/>
      <c r="C102" s="11"/>
      <c r="D102" s="11"/>
      <c r="E102" s="11">
        <v>2</v>
      </c>
      <c r="F102" s="11">
        <f t="shared" ref="F102:F104" si="0">$B$104*$B$105</f>
        <v>125</v>
      </c>
      <c r="G102" s="11">
        <f t="shared" ref="G102:G105" si="1">F102*25%</f>
        <v>31.25</v>
      </c>
      <c r="H102" s="12"/>
    </row>
    <row r="103" spans="1:8" x14ac:dyDescent="0.25">
      <c r="A103" s="13" t="s">
        <v>66</v>
      </c>
      <c r="B103" s="11"/>
      <c r="C103" s="11"/>
      <c r="D103" s="11"/>
      <c r="E103" s="11">
        <v>3</v>
      </c>
      <c r="F103" s="11">
        <f t="shared" si="0"/>
        <v>125</v>
      </c>
      <c r="G103" s="11">
        <f t="shared" si="1"/>
        <v>31.25</v>
      </c>
      <c r="H103" s="12"/>
    </row>
    <row r="104" spans="1:8" x14ac:dyDescent="0.25">
      <c r="A104" s="10" t="s">
        <v>67</v>
      </c>
      <c r="B104" s="11">
        <v>1250</v>
      </c>
      <c r="C104" s="11"/>
      <c r="D104" s="11"/>
      <c r="E104" s="11">
        <v>4</v>
      </c>
      <c r="F104" s="11">
        <f t="shared" si="0"/>
        <v>125</v>
      </c>
      <c r="G104" s="11">
        <f t="shared" si="1"/>
        <v>31.25</v>
      </c>
      <c r="H104" s="12"/>
    </row>
    <row r="105" spans="1:8" x14ac:dyDescent="0.25">
      <c r="A105" s="10" t="s">
        <v>68</v>
      </c>
      <c r="B105" s="14">
        <v>0.1</v>
      </c>
      <c r="C105" s="11" t="s">
        <v>69</v>
      </c>
      <c r="D105" s="11"/>
      <c r="E105" s="11">
        <v>5</v>
      </c>
      <c r="F105" s="11">
        <f>(B104-B106)-SUM(F101:F104)</f>
        <v>250</v>
      </c>
      <c r="G105" s="11">
        <f t="shared" si="1"/>
        <v>62.5</v>
      </c>
      <c r="H105" s="12"/>
    </row>
    <row r="106" spans="1:8" x14ac:dyDescent="0.25">
      <c r="A106" s="15" t="s">
        <v>70</v>
      </c>
      <c r="B106" s="16">
        <v>500</v>
      </c>
      <c r="C106" s="16"/>
      <c r="D106" s="16"/>
      <c r="E106" s="16"/>
      <c r="F106" s="16"/>
      <c r="G106" s="16"/>
      <c r="H106" s="17"/>
    </row>
    <row r="107" spans="1:8" x14ac:dyDescent="0.25">
      <c r="C107" s="2"/>
      <c r="D107" s="2"/>
      <c r="E107" s="2"/>
      <c r="F107" s="2"/>
      <c r="G107" s="2"/>
      <c r="H107" s="2"/>
    </row>
    <row r="108" spans="1:8" x14ac:dyDescent="0.25">
      <c r="A108" s="18" t="s">
        <v>71</v>
      </c>
      <c r="B108" s="7"/>
      <c r="C108" s="7"/>
      <c r="D108" s="7"/>
      <c r="E108" s="7"/>
      <c r="F108" s="7"/>
      <c r="G108" s="7"/>
      <c r="H108" s="9"/>
    </row>
    <row r="109" spans="1:8" ht="17.25" x14ac:dyDescent="0.4">
      <c r="A109" s="10"/>
      <c r="B109" s="11"/>
      <c r="C109" s="19">
        <v>0</v>
      </c>
      <c r="D109" s="19">
        <v>1</v>
      </c>
      <c r="E109" s="19">
        <v>2</v>
      </c>
      <c r="F109" s="19">
        <v>3</v>
      </c>
      <c r="G109" s="19">
        <v>4</v>
      </c>
      <c r="H109" s="20">
        <v>5</v>
      </c>
    </row>
    <row r="110" spans="1:8" x14ac:dyDescent="0.25">
      <c r="A110" s="10" t="s">
        <v>72</v>
      </c>
      <c r="B110" s="11"/>
      <c r="C110" s="11">
        <v>72</v>
      </c>
      <c r="D110" s="11">
        <f>C110*(1+$B$111)/(1+$B$112)</f>
        <v>76.235294117647058</v>
      </c>
      <c r="E110" s="11">
        <f t="shared" ref="E110:H110" si="2">D110*(1+$B$111)/(1+$B$112)</f>
        <v>80.719723183391011</v>
      </c>
      <c r="F110" s="11">
        <f t="shared" si="2"/>
        <v>85.467942194178718</v>
      </c>
      <c r="G110" s="11">
        <f t="shared" si="2"/>
        <v>90.495468205601</v>
      </c>
      <c r="H110" s="12">
        <f t="shared" si="2"/>
        <v>95.818731041224581</v>
      </c>
    </row>
    <row r="111" spans="1:8" x14ac:dyDescent="0.25">
      <c r="A111" s="10" t="s">
        <v>73</v>
      </c>
      <c r="B111" s="14">
        <v>0.08</v>
      </c>
      <c r="C111" s="11"/>
      <c r="D111" s="11"/>
      <c r="E111" s="11"/>
      <c r="F111" s="11"/>
      <c r="G111" s="11"/>
      <c r="H111" s="12"/>
    </row>
    <row r="112" spans="1:8" x14ac:dyDescent="0.25">
      <c r="A112" s="15" t="s">
        <v>74</v>
      </c>
      <c r="B112" s="21">
        <v>0.02</v>
      </c>
      <c r="C112" s="16"/>
      <c r="D112" s="16"/>
      <c r="E112" s="16"/>
      <c r="F112" s="16"/>
      <c r="G112" s="16"/>
      <c r="H112" s="17"/>
    </row>
    <row r="113" spans="1:8" x14ac:dyDescent="0.25">
      <c r="C113" s="2"/>
      <c r="D113" s="2"/>
      <c r="E113" s="2"/>
      <c r="F113" s="2"/>
      <c r="G113" s="2"/>
      <c r="H113" s="2"/>
    </row>
    <row r="114" spans="1:8" x14ac:dyDescent="0.25">
      <c r="A114" s="18" t="s">
        <v>75</v>
      </c>
      <c r="B114" s="7" t="s">
        <v>76</v>
      </c>
      <c r="C114" s="7" t="s">
        <v>77</v>
      </c>
      <c r="D114" s="7"/>
      <c r="E114" s="7"/>
      <c r="F114" s="7"/>
      <c r="G114" s="7"/>
      <c r="H114" s="9"/>
    </row>
    <row r="115" spans="1:8" ht="17.25" x14ac:dyDescent="0.4">
      <c r="A115" s="10"/>
      <c r="B115" s="11"/>
      <c r="C115" s="22">
        <v>0</v>
      </c>
      <c r="D115" s="22">
        <v>1</v>
      </c>
      <c r="E115" s="22">
        <v>2</v>
      </c>
      <c r="F115" s="22">
        <v>3</v>
      </c>
      <c r="G115" s="22">
        <v>4</v>
      </c>
      <c r="H115" s="23">
        <v>5</v>
      </c>
    </row>
    <row r="116" spans="1:8" x14ac:dyDescent="0.25">
      <c r="A116" s="10" t="s">
        <v>78</v>
      </c>
      <c r="B116" s="11"/>
      <c r="C116" s="24"/>
      <c r="D116" s="24">
        <f>D139</f>
        <v>1209.5999999999999</v>
      </c>
      <c r="E116" s="24">
        <f t="shared" ref="E116:H116" si="3">E139</f>
        <v>1905.12</v>
      </c>
      <c r="F116" s="24">
        <f t="shared" si="3"/>
        <v>4000.752</v>
      </c>
      <c r="G116" s="24">
        <f t="shared" si="3"/>
        <v>3640.6843199999998</v>
      </c>
      <c r="H116" s="25">
        <f t="shared" si="3"/>
        <v>2205.4145400000007</v>
      </c>
    </row>
    <row r="117" spans="1:8" x14ac:dyDescent="0.25">
      <c r="A117" s="10" t="s">
        <v>79</v>
      </c>
      <c r="B117" s="11"/>
      <c r="C117" s="24"/>
      <c r="D117" s="24">
        <f>-D145</f>
        <v>-511.50000000000006</v>
      </c>
      <c r="E117" s="24">
        <f t="shared" ref="E117:H117" si="4">-E145</f>
        <v>-843.97500000000025</v>
      </c>
      <c r="F117" s="24">
        <f t="shared" si="4"/>
        <v>-1856.7450000000008</v>
      </c>
      <c r="G117" s="24">
        <f t="shared" si="4"/>
        <v>-1770.0969000000007</v>
      </c>
      <c r="H117" s="25">
        <f t="shared" si="4"/>
        <v>-1123.3307250000005</v>
      </c>
    </row>
    <row r="118" spans="1:8" x14ac:dyDescent="0.25">
      <c r="A118" s="10" t="s">
        <v>80</v>
      </c>
      <c r="B118" s="11"/>
      <c r="C118" s="24"/>
      <c r="D118" s="24">
        <f>-D153</f>
        <v>-160.09411764705882</v>
      </c>
      <c r="E118" s="24">
        <f t="shared" ref="E118:H118" si="5">-E153</f>
        <v>-266.98048442906577</v>
      </c>
      <c r="F118" s="24">
        <f t="shared" si="5"/>
        <v>-593.63895949521691</v>
      </c>
      <c r="G118" s="24">
        <f t="shared" si="5"/>
        <v>-571.98859744303843</v>
      </c>
      <c r="H118" s="25">
        <f t="shared" si="5"/>
        <v>-366.87503931018415</v>
      </c>
    </row>
    <row r="119" spans="1:8" ht="15.75" thickBot="1" x14ac:dyDescent="0.3">
      <c r="A119" s="10" t="s">
        <v>81</v>
      </c>
      <c r="B119" s="11"/>
      <c r="C119" s="24"/>
      <c r="D119" s="26">
        <f>D117*80%</f>
        <v>-409.20000000000005</v>
      </c>
      <c r="E119" s="26">
        <f>E117*20%</f>
        <v>-168.79500000000007</v>
      </c>
      <c r="F119" s="26">
        <v>0</v>
      </c>
      <c r="G119" s="26">
        <v>0</v>
      </c>
      <c r="H119" s="27">
        <v>0</v>
      </c>
    </row>
    <row r="120" spans="1:8" s="1" customFormat="1" x14ac:dyDescent="0.25">
      <c r="A120" s="13" t="s">
        <v>82</v>
      </c>
      <c r="B120" s="28"/>
      <c r="C120" s="29"/>
      <c r="D120" s="29">
        <f>SUM(D116:D119)</f>
        <v>128.80588235294101</v>
      </c>
      <c r="E120" s="29">
        <f t="shared" ref="E120:H120" si="6">SUM(E116:E119)</f>
        <v>625.36951557093369</v>
      </c>
      <c r="F120" s="29">
        <f t="shared" si="6"/>
        <v>1550.3680405047821</v>
      </c>
      <c r="G120" s="29">
        <f t="shared" si="6"/>
        <v>1298.5988225569608</v>
      </c>
      <c r="H120" s="30">
        <f t="shared" si="6"/>
        <v>715.20877568981609</v>
      </c>
    </row>
    <row r="121" spans="1:8" s="1" customFormat="1" x14ac:dyDescent="0.25">
      <c r="A121" s="13" t="s">
        <v>83</v>
      </c>
      <c r="B121" s="28"/>
      <c r="C121" s="29"/>
      <c r="D121" s="31">
        <f>-D120*25%</f>
        <v>-32.201470588235253</v>
      </c>
      <c r="E121" s="31">
        <f t="shared" ref="E121:H121" si="7">-E120*25%</f>
        <v>-156.34237889273342</v>
      </c>
      <c r="F121" s="31">
        <f t="shared" si="7"/>
        <v>-387.59201012619553</v>
      </c>
      <c r="G121" s="31">
        <f t="shared" si="7"/>
        <v>-324.64970563924021</v>
      </c>
      <c r="H121" s="32">
        <f t="shared" si="7"/>
        <v>-178.80219392245402</v>
      </c>
    </row>
    <row r="122" spans="1:8" x14ac:dyDescent="0.25">
      <c r="A122" s="10" t="s">
        <v>84</v>
      </c>
      <c r="B122" s="11"/>
      <c r="C122" s="24"/>
      <c r="D122" s="24"/>
      <c r="E122" s="24"/>
      <c r="F122" s="24"/>
      <c r="G122" s="24"/>
      <c r="H122" s="25"/>
    </row>
    <row r="123" spans="1:8" x14ac:dyDescent="0.25">
      <c r="A123" s="10" t="s">
        <v>85</v>
      </c>
      <c r="B123" s="11"/>
      <c r="C123" s="24">
        <f>-1250</f>
        <v>-1250</v>
      </c>
      <c r="D123" s="24"/>
      <c r="E123" s="24"/>
      <c r="F123" s="24"/>
      <c r="G123" s="24"/>
      <c r="H123" s="25"/>
    </row>
    <row r="124" spans="1:8" x14ac:dyDescent="0.25">
      <c r="A124" s="10" t="s">
        <v>67</v>
      </c>
      <c r="B124" s="11"/>
      <c r="C124" s="24">
        <v>-1250</v>
      </c>
      <c r="D124" s="24"/>
      <c r="E124" s="24"/>
      <c r="F124" s="24"/>
      <c r="G124" s="24"/>
      <c r="H124" s="25"/>
    </row>
    <row r="125" spans="1:8" x14ac:dyDescent="0.25">
      <c r="A125" s="10" t="s">
        <v>70</v>
      </c>
      <c r="B125" s="11"/>
      <c r="C125" s="24"/>
      <c r="D125" s="24"/>
      <c r="E125" s="24"/>
      <c r="F125" s="24"/>
      <c r="G125" s="24"/>
      <c r="H125" s="33">
        <v>500</v>
      </c>
    </row>
    <row r="126" spans="1:8" x14ac:dyDescent="0.25">
      <c r="A126" s="10" t="s">
        <v>86</v>
      </c>
      <c r="B126" s="11"/>
      <c r="C126" s="24"/>
      <c r="D126" s="24"/>
      <c r="E126" s="24"/>
      <c r="F126" s="24"/>
      <c r="G126" s="24"/>
      <c r="H126" s="33">
        <v>1000</v>
      </c>
    </row>
    <row r="127" spans="1:8" x14ac:dyDescent="0.25">
      <c r="A127" s="10" t="s">
        <v>63</v>
      </c>
      <c r="B127" s="11"/>
      <c r="C127" s="11"/>
      <c r="D127" s="11">
        <f>G101</f>
        <v>31.25</v>
      </c>
      <c r="E127" s="11">
        <f>G102</f>
        <v>31.25</v>
      </c>
      <c r="F127" s="11">
        <f>G103</f>
        <v>31.25</v>
      </c>
      <c r="G127" s="11">
        <f>G104</f>
        <v>31.25</v>
      </c>
      <c r="H127" s="12">
        <f>G105</f>
        <v>62.5</v>
      </c>
    </row>
    <row r="128" spans="1:8" ht="15.75" thickBot="1" x14ac:dyDescent="0.3">
      <c r="A128" s="10" t="s">
        <v>87</v>
      </c>
      <c r="B128" s="11"/>
      <c r="C128" s="26">
        <f>-200</f>
        <v>-200</v>
      </c>
      <c r="D128" s="26"/>
      <c r="E128" s="26"/>
      <c r="F128" s="26"/>
      <c r="G128" s="26"/>
      <c r="H128" s="27">
        <f>-C128</f>
        <v>200</v>
      </c>
    </row>
    <row r="129" spans="1:8" x14ac:dyDescent="0.25">
      <c r="A129" s="10" t="s">
        <v>88</v>
      </c>
      <c r="B129" s="11"/>
      <c r="C129" s="34">
        <f t="shared" ref="C129:H129" si="8">SUM(C120:C128)</f>
        <v>-2700</v>
      </c>
      <c r="D129" s="34">
        <f t="shared" si="8"/>
        <v>127.85441176470576</v>
      </c>
      <c r="E129" s="34">
        <f t="shared" si="8"/>
        <v>500.27713667820024</v>
      </c>
      <c r="F129" s="34">
        <f t="shared" si="8"/>
        <v>1194.0260303785867</v>
      </c>
      <c r="G129" s="34">
        <f t="shared" si="8"/>
        <v>1005.1991169177206</v>
      </c>
      <c r="H129" s="35">
        <f t="shared" si="8"/>
        <v>2298.9065817673618</v>
      </c>
    </row>
    <row r="130" spans="1:8" ht="15.75" thickBot="1" x14ac:dyDescent="0.3">
      <c r="A130" s="10" t="s">
        <v>89</v>
      </c>
      <c r="B130" s="11"/>
      <c r="C130" s="4">
        <f>C110</f>
        <v>72</v>
      </c>
      <c r="D130" s="4">
        <f t="shared" ref="D130:H130" si="9">D110</f>
        <v>76.235294117647058</v>
      </c>
      <c r="E130" s="4">
        <f t="shared" si="9"/>
        <v>80.719723183391011</v>
      </c>
      <c r="F130" s="4">
        <f t="shared" si="9"/>
        <v>85.467942194178718</v>
      </c>
      <c r="G130" s="4">
        <f t="shared" si="9"/>
        <v>90.495468205601</v>
      </c>
      <c r="H130" s="36">
        <f t="shared" si="9"/>
        <v>95.818731041224581</v>
      </c>
    </row>
    <row r="131" spans="1:8" x14ac:dyDescent="0.25">
      <c r="A131" s="13" t="s">
        <v>90</v>
      </c>
      <c r="B131" s="28"/>
      <c r="C131" s="37">
        <f>C129/C130</f>
        <v>-37.5</v>
      </c>
      <c r="D131" s="37">
        <f t="shared" ref="D131:H131" si="10">D129/D130</f>
        <v>1.6771026234567885</v>
      </c>
      <c r="E131" s="37">
        <f t="shared" si="10"/>
        <v>6.197706297153629</v>
      </c>
      <c r="F131" s="37">
        <f t="shared" si="10"/>
        <v>13.970454883139945</v>
      </c>
      <c r="G131" s="37">
        <f t="shared" si="10"/>
        <v>11.10772878299232</v>
      </c>
      <c r="H131" s="38">
        <f t="shared" si="10"/>
        <v>23.99224615882558</v>
      </c>
    </row>
    <row r="132" spans="1:8" x14ac:dyDescent="0.25">
      <c r="A132" s="10" t="s">
        <v>91</v>
      </c>
      <c r="B132" s="11"/>
      <c r="C132" s="11">
        <f>C131/1.12^C115</f>
        <v>-37.5</v>
      </c>
      <c r="D132" s="11">
        <f t="shared" ref="D132:H132" si="11">D131/1.12^D115</f>
        <v>1.4974130566578467</v>
      </c>
      <c r="E132" s="11">
        <f t="shared" si="11"/>
        <v>4.9407735149502772</v>
      </c>
      <c r="F132" s="11">
        <f t="shared" si="11"/>
        <v>9.9438938387874263</v>
      </c>
      <c r="G132" s="11">
        <f t="shared" si="11"/>
        <v>7.0591624516093132</v>
      </c>
      <c r="H132" s="12">
        <f t="shared" si="11"/>
        <v>13.613844799529039</v>
      </c>
    </row>
    <row r="133" spans="1:8" x14ac:dyDescent="0.25">
      <c r="A133" s="39" t="s">
        <v>75</v>
      </c>
      <c r="B133" s="40"/>
      <c r="C133" s="41">
        <f>SUM(C132:H132)</f>
        <v>-0.44491233846609468</v>
      </c>
      <c r="D133" s="42"/>
      <c r="E133" s="42"/>
      <c r="F133" s="42"/>
      <c r="G133" s="42"/>
      <c r="H133" s="43"/>
    </row>
    <row r="135" spans="1:8" x14ac:dyDescent="0.25">
      <c r="A135" s="18" t="s">
        <v>92</v>
      </c>
      <c r="B135" s="7"/>
      <c r="C135" s="44"/>
      <c r="D135" s="44"/>
      <c r="E135" s="44"/>
      <c r="F135" s="44"/>
      <c r="G135" s="44"/>
      <c r="H135" s="45"/>
    </row>
    <row r="136" spans="1:8" ht="17.25" x14ac:dyDescent="0.4">
      <c r="A136" s="13"/>
      <c r="B136" s="11"/>
      <c r="C136" s="22">
        <v>0</v>
      </c>
      <c r="D136" s="22">
        <v>1</v>
      </c>
      <c r="E136" s="22">
        <v>2</v>
      </c>
      <c r="F136" s="22">
        <v>3</v>
      </c>
      <c r="G136" s="22">
        <v>4</v>
      </c>
      <c r="H136" s="23">
        <v>5</v>
      </c>
    </row>
    <row r="137" spans="1:8" x14ac:dyDescent="0.25">
      <c r="A137" s="10" t="s">
        <v>93</v>
      </c>
      <c r="B137" s="11"/>
      <c r="C137" s="24"/>
      <c r="D137" s="24">
        <v>10000</v>
      </c>
      <c r="E137" s="24">
        <v>15000</v>
      </c>
      <c r="F137" s="24">
        <v>30000</v>
      </c>
      <c r="G137" s="24">
        <v>26000</v>
      </c>
      <c r="H137" s="25">
        <v>15000</v>
      </c>
    </row>
    <row r="138" spans="1:8" x14ac:dyDescent="0.25">
      <c r="A138" s="10" t="s">
        <v>94</v>
      </c>
      <c r="B138" s="11"/>
      <c r="C138" s="24"/>
      <c r="D138" s="24">
        <f>115200*1.05</f>
        <v>120960</v>
      </c>
      <c r="E138" s="24">
        <f>D138*1.05</f>
        <v>127008</v>
      </c>
      <c r="F138" s="24">
        <f t="shared" ref="F138:H138" si="12">E138*1.05</f>
        <v>133358.39999999999</v>
      </c>
      <c r="G138" s="24">
        <f t="shared" si="12"/>
        <v>140026.32</v>
      </c>
      <c r="H138" s="25">
        <f t="shared" si="12"/>
        <v>147027.63600000003</v>
      </c>
    </row>
    <row r="139" spans="1:8" x14ac:dyDescent="0.25">
      <c r="A139" s="15" t="s">
        <v>95</v>
      </c>
      <c r="B139" s="16"/>
      <c r="C139" s="42"/>
      <c r="D139" s="42">
        <f>D138*D137/1000000</f>
        <v>1209.5999999999999</v>
      </c>
      <c r="E139" s="42">
        <f t="shared" ref="E139:H139" si="13">E138*E137/1000000</f>
        <v>1905.12</v>
      </c>
      <c r="F139" s="42">
        <f t="shared" si="13"/>
        <v>4000.752</v>
      </c>
      <c r="G139" s="42">
        <f t="shared" si="13"/>
        <v>3640.6843199999998</v>
      </c>
      <c r="H139" s="43">
        <f t="shared" si="13"/>
        <v>2205.4145400000007</v>
      </c>
    </row>
    <row r="141" spans="1:8" x14ac:dyDescent="0.25">
      <c r="A141" s="18" t="s">
        <v>96</v>
      </c>
      <c r="B141" s="7"/>
      <c r="C141" s="44"/>
      <c r="D141" s="44"/>
      <c r="E141" s="44"/>
      <c r="F141" s="44"/>
      <c r="G141" s="44"/>
      <c r="H141" s="45"/>
    </row>
    <row r="142" spans="1:8" ht="17.25" x14ac:dyDescent="0.4">
      <c r="A142" s="13"/>
      <c r="B142" s="11"/>
      <c r="C142" s="22">
        <v>0</v>
      </c>
      <c r="D142" s="22">
        <v>1</v>
      </c>
      <c r="E142" s="22">
        <v>2</v>
      </c>
      <c r="F142" s="22">
        <v>3</v>
      </c>
      <c r="G142" s="22">
        <v>4</v>
      </c>
      <c r="H142" s="23">
        <v>5</v>
      </c>
    </row>
    <row r="143" spans="1:8" x14ac:dyDescent="0.25">
      <c r="A143" s="10" t="s">
        <v>93</v>
      </c>
      <c r="B143" s="11"/>
      <c r="C143" s="24"/>
      <c r="D143" s="24">
        <v>10000</v>
      </c>
      <c r="E143" s="24">
        <v>15000</v>
      </c>
      <c r="F143" s="24">
        <v>30000</v>
      </c>
      <c r="G143" s="24">
        <v>26000</v>
      </c>
      <c r="H143" s="25">
        <v>15000</v>
      </c>
    </row>
    <row r="144" spans="1:8" x14ac:dyDescent="0.25">
      <c r="A144" s="10" t="s">
        <v>97</v>
      </c>
      <c r="B144" s="11"/>
      <c r="C144" s="24"/>
      <c r="D144" s="24">
        <f>46500*1.1</f>
        <v>51150.000000000007</v>
      </c>
      <c r="E144" s="24">
        <f>D144*1.1</f>
        <v>56265.000000000015</v>
      </c>
      <c r="F144" s="24">
        <f t="shared" ref="F144:H144" si="14">E144*1.1</f>
        <v>61891.500000000022</v>
      </c>
      <c r="G144" s="24">
        <f t="shared" si="14"/>
        <v>68080.650000000023</v>
      </c>
      <c r="H144" s="25">
        <f t="shared" si="14"/>
        <v>74888.715000000026</v>
      </c>
    </row>
    <row r="145" spans="1:8" x14ac:dyDescent="0.25">
      <c r="A145" s="15" t="s">
        <v>98</v>
      </c>
      <c r="B145" s="16"/>
      <c r="C145" s="42"/>
      <c r="D145" s="42">
        <f>D144*D143/1000000</f>
        <v>511.50000000000006</v>
      </c>
      <c r="E145" s="42">
        <f t="shared" ref="E145:H145" si="15">E144*E143/1000000</f>
        <v>843.97500000000025</v>
      </c>
      <c r="F145" s="42">
        <f t="shared" si="15"/>
        <v>1856.7450000000008</v>
      </c>
      <c r="G145" s="42">
        <f t="shared" si="15"/>
        <v>1770.0969000000007</v>
      </c>
      <c r="H145" s="43">
        <f t="shared" si="15"/>
        <v>1123.3307250000005</v>
      </c>
    </row>
    <row r="147" spans="1:8" x14ac:dyDescent="0.25">
      <c r="A147" s="18" t="s">
        <v>99</v>
      </c>
      <c r="B147" s="7"/>
      <c r="C147" s="44"/>
      <c r="D147" s="44"/>
      <c r="E147" s="44"/>
      <c r="F147" s="44"/>
      <c r="G147" s="44"/>
      <c r="H147" s="45"/>
    </row>
    <row r="148" spans="1:8" ht="17.25" x14ac:dyDescent="0.4">
      <c r="A148" s="13"/>
      <c r="B148" s="11"/>
      <c r="C148" s="22">
        <v>0</v>
      </c>
      <c r="D148" s="22">
        <v>1</v>
      </c>
      <c r="E148" s="22">
        <v>2</v>
      </c>
      <c r="F148" s="22">
        <v>3</v>
      </c>
      <c r="G148" s="22">
        <v>4</v>
      </c>
      <c r="H148" s="23">
        <v>5</v>
      </c>
    </row>
    <row r="149" spans="1:8" x14ac:dyDescent="0.25">
      <c r="A149" s="10" t="s">
        <v>93</v>
      </c>
      <c r="B149" s="11"/>
      <c r="C149" s="24"/>
      <c r="D149" s="24">
        <v>10000</v>
      </c>
      <c r="E149" s="24">
        <v>15000</v>
      </c>
      <c r="F149" s="24">
        <v>30000</v>
      </c>
      <c r="G149" s="24">
        <v>26000</v>
      </c>
      <c r="H149" s="25">
        <v>15000</v>
      </c>
    </row>
    <row r="150" spans="1:8" x14ac:dyDescent="0.25">
      <c r="A150" s="10" t="s">
        <v>100</v>
      </c>
      <c r="B150" s="11"/>
      <c r="C150" s="24"/>
      <c r="D150" s="24">
        <f>200*1.05</f>
        <v>210</v>
      </c>
      <c r="E150" s="24">
        <f>D150*1.05</f>
        <v>220.5</v>
      </c>
      <c r="F150" s="24">
        <f t="shared" ref="F150:H150" si="16">E150*1.05</f>
        <v>231.52500000000001</v>
      </c>
      <c r="G150" s="24">
        <f t="shared" si="16"/>
        <v>243.10125000000002</v>
      </c>
      <c r="H150" s="25">
        <f t="shared" si="16"/>
        <v>255.25631250000004</v>
      </c>
    </row>
    <row r="151" spans="1:8" x14ac:dyDescent="0.25">
      <c r="A151" s="10" t="s">
        <v>101</v>
      </c>
      <c r="B151" s="11"/>
      <c r="C151" s="24"/>
      <c r="D151" s="11">
        <f>D150*D149/1000000</f>
        <v>2.1</v>
      </c>
      <c r="E151" s="11">
        <f t="shared" ref="E151:H151" si="17">E150*E149/1000000</f>
        <v>3.3075000000000001</v>
      </c>
      <c r="F151" s="11">
        <f t="shared" si="17"/>
        <v>6.9457500000000003</v>
      </c>
      <c r="G151" s="11">
        <f t="shared" si="17"/>
        <v>6.3206325000000012</v>
      </c>
      <c r="H151" s="12">
        <f t="shared" si="17"/>
        <v>3.8288446875000006</v>
      </c>
    </row>
    <row r="152" spans="1:8" x14ac:dyDescent="0.25">
      <c r="A152" s="10" t="s">
        <v>102</v>
      </c>
      <c r="B152" s="11"/>
      <c r="C152" s="24">
        <f>C110</f>
        <v>72</v>
      </c>
      <c r="D152" s="24">
        <f t="shared" ref="D152:H152" si="18">D110</f>
        <v>76.235294117647058</v>
      </c>
      <c r="E152" s="24">
        <f t="shared" si="18"/>
        <v>80.719723183391011</v>
      </c>
      <c r="F152" s="24">
        <f t="shared" si="18"/>
        <v>85.467942194178718</v>
      </c>
      <c r="G152" s="24">
        <f t="shared" si="18"/>
        <v>90.495468205601</v>
      </c>
      <c r="H152" s="25">
        <f t="shared" si="18"/>
        <v>95.818731041224581</v>
      </c>
    </row>
    <row r="153" spans="1:8" x14ac:dyDescent="0.25">
      <c r="A153" s="15" t="s">
        <v>103</v>
      </c>
      <c r="B153" s="16"/>
      <c r="C153" s="42"/>
      <c r="D153" s="42">
        <f>D151*D152</f>
        <v>160.09411764705882</v>
      </c>
      <c r="E153" s="42">
        <f t="shared" ref="E153:H153" si="19">E151*E152</f>
        <v>266.98048442906577</v>
      </c>
      <c r="F153" s="42">
        <f t="shared" si="19"/>
        <v>593.63895949521691</v>
      </c>
      <c r="G153" s="42">
        <f t="shared" si="19"/>
        <v>571.98859744303843</v>
      </c>
      <c r="H153" s="43">
        <f t="shared" si="19"/>
        <v>366.87503931018415</v>
      </c>
    </row>
    <row r="155" spans="1:8" x14ac:dyDescent="0.25">
      <c r="A155" s="1"/>
    </row>
    <row r="156" spans="1:8" x14ac:dyDescent="0.25">
      <c r="A156" s="1" t="s">
        <v>104</v>
      </c>
      <c r="B156" s="47"/>
    </row>
    <row r="157" spans="1:8" x14ac:dyDescent="0.25">
      <c r="A157" s="2" t="s">
        <v>105</v>
      </c>
    </row>
    <row r="158" spans="1:8" x14ac:dyDescent="0.25">
      <c r="A158" s="1" t="s">
        <v>106</v>
      </c>
    </row>
    <row r="159" spans="1:8" x14ac:dyDescent="0.25">
      <c r="A159" s="2" t="s">
        <v>107</v>
      </c>
      <c r="B159" s="2" t="s">
        <v>108</v>
      </c>
    </row>
    <row r="160" spans="1:8" x14ac:dyDescent="0.25">
      <c r="A160" s="2" t="s">
        <v>3</v>
      </c>
      <c r="B160" s="2" t="s">
        <v>109</v>
      </c>
    </row>
    <row r="161" spans="1:3" x14ac:dyDescent="0.25">
      <c r="A161" s="2" t="s">
        <v>13</v>
      </c>
      <c r="B161" s="2" t="s">
        <v>46</v>
      </c>
    </row>
    <row r="162" spans="1:3" x14ac:dyDescent="0.25">
      <c r="A162" s="2" t="s">
        <v>9</v>
      </c>
      <c r="B162" s="2" t="s">
        <v>110</v>
      </c>
    </row>
    <row r="163" spans="1:3" x14ac:dyDescent="0.25">
      <c r="A163" s="2" t="s">
        <v>7</v>
      </c>
      <c r="B163" s="2" t="s">
        <v>111</v>
      </c>
    </row>
    <row r="165" spans="1:3" x14ac:dyDescent="0.25">
      <c r="A165" s="1" t="s">
        <v>66</v>
      </c>
    </row>
    <row r="166" spans="1:3" x14ac:dyDescent="0.25">
      <c r="A166" s="2" t="s">
        <v>5</v>
      </c>
      <c r="B166" s="2">
        <v>28</v>
      </c>
      <c r="C166" s="46" t="s">
        <v>112</v>
      </c>
    </row>
    <row r="167" spans="1:3" x14ac:dyDescent="0.25">
      <c r="A167" s="2" t="s">
        <v>3</v>
      </c>
      <c r="B167" s="2">
        <f>SUM(F132:H132)</f>
        <v>30.616901089925776</v>
      </c>
      <c r="C167" s="46" t="s">
        <v>113</v>
      </c>
    </row>
    <row r="168" spans="1:3" x14ac:dyDescent="0.25">
      <c r="A168" s="2" t="s">
        <v>13</v>
      </c>
      <c r="B168" s="47">
        <v>0.35</v>
      </c>
    </row>
    <row r="169" spans="1:3" x14ac:dyDescent="0.25">
      <c r="A169" s="2" t="s">
        <v>9</v>
      </c>
      <c r="B169" s="2">
        <v>2</v>
      </c>
      <c r="C169" s="46" t="s">
        <v>114</v>
      </c>
    </row>
    <row r="170" spans="1:3" x14ac:dyDescent="0.25">
      <c r="A170" s="2" t="s">
        <v>7</v>
      </c>
      <c r="B170" s="47">
        <v>0.04</v>
      </c>
    </row>
    <row r="172" spans="1:3" x14ac:dyDescent="0.25">
      <c r="A172" s="1" t="s">
        <v>17</v>
      </c>
    </row>
    <row r="173" spans="1:3" x14ac:dyDescent="0.25">
      <c r="A173" s="2" t="s">
        <v>47</v>
      </c>
      <c r="B173" s="48">
        <v>0.92300000000000004</v>
      </c>
    </row>
    <row r="175" spans="1:3" x14ac:dyDescent="0.25">
      <c r="A175" s="1" t="s">
        <v>48</v>
      </c>
    </row>
    <row r="176" spans="1:3" x14ac:dyDescent="0.25">
      <c r="A176" s="2" t="s">
        <v>49</v>
      </c>
      <c r="B176" s="2" t="s">
        <v>29</v>
      </c>
      <c r="C176" s="48">
        <f>0.59</f>
        <v>0.59</v>
      </c>
    </row>
    <row r="177" spans="1:5" x14ac:dyDescent="0.25">
      <c r="A177" s="2" t="s">
        <v>50</v>
      </c>
      <c r="B177" s="2" t="s">
        <v>29</v>
      </c>
      <c r="C177" s="2">
        <v>0.1</v>
      </c>
    </row>
    <row r="179" spans="1:5" x14ac:dyDescent="0.25">
      <c r="A179" s="1" t="s">
        <v>115</v>
      </c>
    </row>
    <row r="180" spans="1:5" x14ac:dyDescent="0.25">
      <c r="A180" s="18" t="s">
        <v>28</v>
      </c>
      <c r="B180" s="49" t="s">
        <v>29</v>
      </c>
      <c r="C180" s="50">
        <f>0.224+0.5</f>
        <v>0.72399999999999998</v>
      </c>
      <c r="D180" s="51">
        <v>0.5</v>
      </c>
      <c r="E180" s="51">
        <v>0.09</v>
      </c>
    </row>
    <row r="181" spans="1:5" x14ac:dyDescent="0.25">
      <c r="A181" s="39" t="s">
        <v>33</v>
      </c>
      <c r="B181" s="40" t="s">
        <v>29</v>
      </c>
      <c r="C181" s="52">
        <f>0.0398+0.5</f>
        <v>0.53980000000000006</v>
      </c>
      <c r="D181" s="51">
        <v>0.1</v>
      </c>
      <c r="E181" s="51"/>
    </row>
    <row r="182" spans="1:5" x14ac:dyDescent="0.25">
      <c r="A182" s="1"/>
      <c r="B182" s="1"/>
      <c r="C182" s="53"/>
    </row>
    <row r="183" spans="1:5" x14ac:dyDescent="0.25">
      <c r="A183" s="1" t="s">
        <v>54</v>
      </c>
    </row>
    <row r="184" spans="1:5" x14ac:dyDescent="0.25">
      <c r="A184" s="6" t="s">
        <v>36</v>
      </c>
      <c r="B184" s="7" t="s">
        <v>29</v>
      </c>
      <c r="C184" s="9">
        <v>8.2100000000000009</v>
      </c>
    </row>
    <row r="185" spans="1:5" x14ac:dyDescent="0.25">
      <c r="A185" s="39" t="s">
        <v>39</v>
      </c>
      <c r="B185" s="40" t="s">
        <v>29</v>
      </c>
      <c r="C185" s="52">
        <v>3.42</v>
      </c>
    </row>
    <row r="199" spans="1:6" x14ac:dyDescent="0.25">
      <c r="A199" s="1" t="s">
        <v>116</v>
      </c>
    </row>
    <row r="200" spans="1:6" x14ac:dyDescent="0.25">
      <c r="A200" s="2" t="s">
        <v>117</v>
      </c>
      <c r="B200" s="2" t="s">
        <v>118</v>
      </c>
    </row>
    <row r="201" spans="1:6" x14ac:dyDescent="0.25">
      <c r="A201" s="2" t="s">
        <v>119</v>
      </c>
      <c r="B201" s="2">
        <v>2</v>
      </c>
      <c r="C201" s="46" t="s">
        <v>120</v>
      </c>
    </row>
    <row r="202" spans="1:6" x14ac:dyDescent="0.25">
      <c r="A202" s="2" t="s">
        <v>121</v>
      </c>
      <c r="B202" s="2">
        <v>5</v>
      </c>
      <c r="C202" s="46" t="s">
        <v>122</v>
      </c>
    </row>
    <row r="203" spans="1:6" x14ac:dyDescent="0.25">
      <c r="A203" s="2" t="s">
        <v>123</v>
      </c>
      <c r="B203" s="2" t="s">
        <v>124</v>
      </c>
    </row>
    <row r="204" spans="1:6" x14ac:dyDescent="0.25">
      <c r="A204" s="2" t="s">
        <v>125</v>
      </c>
      <c r="B204" s="2">
        <v>0</v>
      </c>
    </row>
    <row r="206" spans="1:6" ht="17.25" x14ac:dyDescent="0.4">
      <c r="A206" s="2" t="s">
        <v>66</v>
      </c>
      <c r="D206" s="54" t="s">
        <v>126</v>
      </c>
      <c r="E206" s="54" t="s">
        <v>127</v>
      </c>
      <c r="F206" s="54" t="s">
        <v>128</v>
      </c>
    </row>
    <row r="207" spans="1:6" x14ac:dyDescent="0.25">
      <c r="A207" s="2" t="s">
        <v>129</v>
      </c>
      <c r="B207" s="2">
        <v>120</v>
      </c>
      <c r="C207" s="46" t="s">
        <v>120</v>
      </c>
      <c r="D207" s="46">
        <v>1</v>
      </c>
      <c r="E207" s="46">
        <f>$B$207*$B$208</f>
        <v>12</v>
      </c>
      <c r="F207" s="46">
        <f>E207*20%</f>
        <v>2.4000000000000004</v>
      </c>
    </row>
    <row r="208" spans="1:6" x14ac:dyDescent="0.25">
      <c r="A208" s="2" t="s">
        <v>62</v>
      </c>
      <c r="B208" s="47">
        <v>0.1</v>
      </c>
      <c r="C208" s="46" t="s">
        <v>69</v>
      </c>
      <c r="D208" s="46">
        <v>2</v>
      </c>
      <c r="E208" s="46">
        <f t="shared" ref="E208:E210" si="20">$B$207*$B$208</f>
        <v>12</v>
      </c>
      <c r="F208" s="46">
        <f t="shared" ref="F208:F211" si="21">E208*20%</f>
        <v>2.4000000000000004</v>
      </c>
    </row>
    <row r="209" spans="1:8" x14ac:dyDescent="0.25">
      <c r="A209" s="2" t="s">
        <v>130</v>
      </c>
      <c r="B209" s="47">
        <v>0.2</v>
      </c>
      <c r="D209" s="46">
        <v>3</v>
      </c>
      <c r="E209" s="46">
        <f t="shared" si="20"/>
        <v>12</v>
      </c>
      <c r="F209" s="46">
        <f t="shared" si="21"/>
        <v>2.4000000000000004</v>
      </c>
    </row>
    <row r="210" spans="1:8" x14ac:dyDescent="0.25">
      <c r="A210" s="2" t="s">
        <v>131</v>
      </c>
      <c r="B210" s="2">
        <v>40</v>
      </c>
      <c r="D210" s="46">
        <v>4</v>
      </c>
      <c r="E210" s="46">
        <f t="shared" si="20"/>
        <v>12</v>
      </c>
      <c r="F210" s="46">
        <f t="shared" si="21"/>
        <v>2.4000000000000004</v>
      </c>
    </row>
    <row r="211" spans="1:8" x14ac:dyDescent="0.25">
      <c r="D211" s="46">
        <v>5</v>
      </c>
      <c r="E211" s="46">
        <f>(B207-B210)-E207-E208-E209-E210</f>
        <v>32</v>
      </c>
      <c r="F211" s="46">
        <f t="shared" si="21"/>
        <v>6.4</v>
      </c>
    </row>
    <row r="216" spans="1:8" x14ac:dyDescent="0.25">
      <c r="A216" s="2" t="s">
        <v>132</v>
      </c>
    </row>
    <row r="224" spans="1:8" x14ac:dyDescent="0.25">
      <c r="A224" s="18" t="s">
        <v>75</v>
      </c>
      <c r="B224" s="7"/>
      <c r="C224" s="44"/>
      <c r="D224" s="44"/>
      <c r="E224" s="44"/>
      <c r="F224" s="44"/>
      <c r="G224" s="44"/>
      <c r="H224" s="45"/>
    </row>
    <row r="225" spans="1:8" ht="17.25" x14ac:dyDescent="0.4">
      <c r="A225" s="10"/>
      <c r="B225" s="11"/>
      <c r="C225" s="22">
        <v>0</v>
      </c>
      <c r="D225" s="22">
        <v>1</v>
      </c>
      <c r="E225" s="22">
        <v>2</v>
      </c>
      <c r="F225" s="22">
        <v>3</v>
      </c>
      <c r="G225" s="22">
        <v>4</v>
      </c>
      <c r="H225" s="23">
        <v>5</v>
      </c>
    </row>
    <row r="226" spans="1:8" x14ac:dyDescent="0.25">
      <c r="A226" s="10" t="s">
        <v>133</v>
      </c>
      <c r="B226" s="11"/>
      <c r="C226" s="24"/>
      <c r="D226" s="11">
        <f>D245</f>
        <v>7.5</v>
      </c>
      <c r="E226" s="11">
        <f t="shared" ref="E226:H226" si="22">E245</f>
        <v>21.6</v>
      </c>
      <c r="F226" s="11">
        <f t="shared" si="22"/>
        <v>58.320000000000007</v>
      </c>
      <c r="G226" s="11">
        <f t="shared" si="22"/>
        <v>75.582720000000009</v>
      </c>
      <c r="H226" s="12">
        <f t="shared" si="22"/>
        <v>129.24645120000002</v>
      </c>
    </row>
    <row r="227" spans="1:8" x14ac:dyDescent="0.25">
      <c r="A227" s="10" t="s">
        <v>134</v>
      </c>
      <c r="B227" s="11"/>
      <c r="C227" s="24"/>
      <c r="D227" s="11">
        <f>-D249</f>
        <v>-3</v>
      </c>
      <c r="E227" s="11">
        <f t="shared" ref="E227:H227" si="23">-E249</f>
        <v>-8.4</v>
      </c>
      <c r="F227" s="11">
        <f t="shared" si="23"/>
        <v>-22.05</v>
      </c>
      <c r="G227" s="11">
        <f t="shared" si="23"/>
        <v>-27.783000000000001</v>
      </c>
      <c r="H227" s="12">
        <f t="shared" si="23"/>
        <v>-46.189237500000004</v>
      </c>
    </row>
    <row r="228" spans="1:8" x14ac:dyDescent="0.25">
      <c r="A228" s="10" t="s">
        <v>135</v>
      </c>
      <c r="B228" s="11"/>
      <c r="C228" s="24"/>
      <c r="D228" s="11">
        <f>D227*1.2</f>
        <v>-3.5999999999999996</v>
      </c>
      <c r="E228" s="11">
        <f>E227*0.4</f>
        <v>-3.3600000000000003</v>
      </c>
      <c r="F228" s="11">
        <f>F227*0.1</f>
        <v>-2.2050000000000001</v>
      </c>
      <c r="G228" s="11">
        <f t="shared" ref="G228:H228" si="24">G227*0.1</f>
        <v>-2.7783000000000002</v>
      </c>
      <c r="H228" s="12">
        <f t="shared" si="24"/>
        <v>-4.6189237500000004</v>
      </c>
    </row>
    <row r="229" spans="1:8" ht="15.75" thickBot="1" x14ac:dyDescent="0.3">
      <c r="A229" s="10" t="s">
        <v>136</v>
      </c>
      <c r="B229" s="11"/>
      <c r="C229" s="24"/>
      <c r="D229" s="4">
        <v>-1.5</v>
      </c>
      <c r="E229" s="4">
        <f>D229*1.05</f>
        <v>-1.5750000000000002</v>
      </c>
      <c r="F229" s="4">
        <f t="shared" ref="F229:H229" si="25">E229*1.05</f>
        <v>-1.6537500000000003</v>
      </c>
      <c r="G229" s="4">
        <f t="shared" si="25"/>
        <v>-1.7364375000000003</v>
      </c>
      <c r="H229" s="36">
        <f t="shared" si="25"/>
        <v>-1.8232593750000003</v>
      </c>
    </row>
    <row r="230" spans="1:8" x14ac:dyDescent="0.25">
      <c r="A230" s="10" t="s">
        <v>137</v>
      </c>
      <c r="B230" s="11"/>
      <c r="C230" s="24"/>
      <c r="D230" s="11">
        <f>SUM(D226:D229)</f>
        <v>-0.59999999999999964</v>
      </c>
      <c r="E230" s="11">
        <f t="shared" ref="E230:H230" si="26">SUM(E226:E229)</f>
        <v>8.2650000000000006</v>
      </c>
      <c r="F230" s="11">
        <f t="shared" si="26"/>
        <v>32.41125000000001</v>
      </c>
      <c r="G230" s="11">
        <f t="shared" si="26"/>
        <v>43.284982500000005</v>
      </c>
      <c r="H230" s="12">
        <f t="shared" si="26"/>
        <v>76.615030575000006</v>
      </c>
    </row>
    <row r="231" spans="1:8" x14ac:dyDescent="0.25">
      <c r="A231" s="10" t="s">
        <v>138</v>
      </c>
      <c r="B231" s="11"/>
      <c r="C231" s="24"/>
      <c r="D231" s="11"/>
      <c r="E231" s="11">
        <f>-(E230+D230)*20%</f>
        <v>-1.5330000000000004</v>
      </c>
      <c r="F231" s="11">
        <f t="shared" ref="F231:H231" si="27">F230*-20%</f>
        <v>-6.4822500000000023</v>
      </c>
      <c r="G231" s="11">
        <f t="shared" si="27"/>
        <v>-8.6569965000000018</v>
      </c>
      <c r="H231" s="12">
        <f t="shared" si="27"/>
        <v>-15.323006115000002</v>
      </c>
    </row>
    <row r="232" spans="1:8" x14ac:dyDescent="0.25">
      <c r="A232" s="10" t="s">
        <v>139</v>
      </c>
      <c r="B232" s="11"/>
      <c r="C232" s="24"/>
      <c r="D232" s="11">
        <f>F207</f>
        <v>2.4000000000000004</v>
      </c>
      <c r="E232" s="11">
        <f>F208</f>
        <v>2.4000000000000004</v>
      </c>
      <c r="F232" s="11">
        <f>F209</f>
        <v>2.4000000000000004</v>
      </c>
      <c r="G232" s="11">
        <f>F210</f>
        <v>2.4000000000000004</v>
      </c>
      <c r="H232" s="12">
        <f>F211</f>
        <v>6.4</v>
      </c>
    </row>
    <row r="233" spans="1:8" x14ac:dyDescent="0.25">
      <c r="A233" s="10" t="s">
        <v>140</v>
      </c>
      <c r="B233" s="11"/>
      <c r="C233" s="24">
        <v>-120</v>
      </c>
      <c r="D233" s="24"/>
      <c r="E233" s="24"/>
      <c r="F233" s="24"/>
      <c r="G233" s="24"/>
      <c r="H233" s="25"/>
    </row>
    <row r="234" spans="1:8" x14ac:dyDescent="0.25">
      <c r="A234" s="10" t="s">
        <v>141</v>
      </c>
      <c r="B234" s="11"/>
      <c r="C234" s="11"/>
      <c r="D234" s="11"/>
      <c r="E234" s="11"/>
      <c r="F234" s="11"/>
      <c r="G234" s="11"/>
      <c r="H234" s="12">
        <v>40</v>
      </c>
    </row>
    <row r="235" spans="1:8" ht="15.75" thickBot="1" x14ac:dyDescent="0.3">
      <c r="A235" s="10" t="s">
        <v>142</v>
      </c>
      <c r="B235" s="11"/>
      <c r="C235" s="4">
        <f>-C252</f>
        <v>-1.5</v>
      </c>
      <c r="D235" s="4">
        <f t="shared" ref="D235:G235" si="28">-D252</f>
        <v>-1.4100000000000001</v>
      </c>
      <c r="E235" s="4">
        <f t="shared" si="28"/>
        <v>-3.6720000000000006</v>
      </c>
      <c r="F235" s="4">
        <f t="shared" si="28"/>
        <v>-1.7262720000000003</v>
      </c>
      <c r="G235" s="4">
        <f t="shared" si="28"/>
        <v>-5.3663731200000022</v>
      </c>
      <c r="H235" s="36">
        <f>-SUM(C235:G235)</f>
        <v>13.674645120000003</v>
      </c>
    </row>
    <row r="236" spans="1:8" x14ac:dyDescent="0.25">
      <c r="A236" s="10" t="s">
        <v>143</v>
      </c>
      <c r="B236" s="11"/>
      <c r="C236" s="28">
        <f>SUM(C230:C235)</f>
        <v>-121.5</v>
      </c>
      <c r="D236" s="28">
        <f t="shared" ref="D236:H236" si="29">SUM(D230:D235)</f>
        <v>0.39000000000000057</v>
      </c>
      <c r="E236" s="28">
        <f t="shared" si="29"/>
        <v>5.4600000000000009</v>
      </c>
      <c r="F236" s="28">
        <f t="shared" si="29"/>
        <v>26.602728000000006</v>
      </c>
      <c r="G236" s="28">
        <f t="shared" si="29"/>
        <v>31.661612880000003</v>
      </c>
      <c r="H236" s="55">
        <f t="shared" si="29"/>
        <v>121.36666958000002</v>
      </c>
    </row>
    <row r="237" spans="1:8" x14ac:dyDescent="0.25">
      <c r="A237" s="10" t="s">
        <v>144</v>
      </c>
      <c r="B237" s="11"/>
      <c r="C237" s="11">
        <f>C236/(1+$A$238)^C225</f>
        <v>-121.5</v>
      </c>
      <c r="D237" s="11">
        <f t="shared" ref="D237:H237" si="30">D236/(1+$A$238)^D225</f>
        <v>0.34821849351026041</v>
      </c>
      <c r="E237" s="11">
        <f t="shared" si="30"/>
        <v>4.3527837669635119</v>
      </c>
      <c r="F237" s="11">
        <f t="shared" si="30"/>
        <v>18.935982774857681</v>
      </c>
      <c r="G237" s="11">
        <f t="shared" si="30"/>
        <v>20.122499982588202</v>
      </c>
      <c r="H237" s="12">
        <f t="shared" si="30"/>
        <v>68.870868710687958</v>
      </c>
    </row>
    <row r="238" spans="1:8" ht="15.75" thickBot="1" x14ac:dyDescent="0.3">
      <c r="A238" s="56">
        <f>C277</f>
        <v>0.11998646616541353</v>
      </c>
      <c r="B238" s="11"/>
      <c r="C238" s="24"/>
      <c r="D238" s="24"/>
      <c r="E238" s="24"/>
      <c r="F238" s="24"/>
      <c r="G238" s="24"/>
      <c r="H238" s="25"/>
    </row>
    <row r="239" spans="1:8" ht="15.75" thickBot="1" x14ac:dyDescent="0.3">
      <c r="A239" s="57" t="s">
        <v>75</v>
      </c>
      <c r="B239" s="58"/>
      <c r="C239" s="59">
        <f>SUM(C237:H237)</f>
        <v>-8.8696462713923978</v>
      </c>
      <c r="D239" s="24"/>
      <c r="E239" s="24"/>
      <c r="F239" s="24"/>
      <c r="G239" s="24"/>
      <c r="H239" s="25"/>
    </row>
    <row r="240" spans="1:8" x14ac:dyDescent="0.25">
      <c r="A240" s="15"/>
      <c r="B240" s="16"/>
      <c r="C240" s="42"/>
      <c r="D240" s="42"/>
      <c r="E240" s="42"/>
      <c r="F240" s="42"/>
      <c r="G240" s="42"/>
      <c r="H240" s="43"/>
    </row>
    <row r="242" spans="1:8" ht="17.25" x14ac:dyDescent="0.4">
      <c r="A242" s="18" t="s">
        <v>145</v>
      </c>
      <c r="B242" s="7"/>
      <c r="C242" s="60">
        <v>0</v>
      </c>
      <c r="D242" s="60">
        <v>1</v>
      </c>
      <c r="E242" s="60">
        <v>2</v>
      </c>
      <c r="F242" s="60">
        <v>3</v>
      </c>
      <c r="G242" s="60">
        <v>4</v>
      </c>
      <c r="H242" s="61">
        <v>5</v>
      </c>
    </row>
    <row r="243" spans="1:8" x14ac:dyDescent="0.25">
      <c r="A243" s="10" t="s">
        <v>146</v>
      </c>
      <c r="B243" s="11"/>
      <c r="C243" s="24"/>
      <c r="D243" s="24">
        <v>1000</v>
      </c>
      <c r="E243" s="24">
        <f>D243*1.08</f>
        <v>1080</v>
      </c>
      <c r="F243" s="24">
        <f t="shared" ref="F243:H243" si="31">E243*1.08</f>
        <v>1166.4000000000001</v>
      </c>
      <c r="G243" s="24">
        <f t="shared" si="31"/>
        <v>1259.7120000000002</v>
      </c>
      <c r="H243" s="25">
        <f t="shared" si="31"/>
        <v>1360.4889600000004</v>
      </c>
    </row>
    <row r="244" spans="1:8" x14ac:dyDescent="0.25">
      <c r="A244" s="10" t="s">
        <v>147</v>
      </c>
      <c r="B244" s="11"/>
      <c r="C244" s="24"/>
      <c r="D244" s="24">
        <v>7500</v>
      </c>
      <c r="E244" s="24">
        <v>20000</v>
      </c>
      <c r="F244" s="24">
        <v>50000</v>
      </c>
      <c r="G244" s="24">
        <v>60000</v>
      </c>
      <c r="H244" s="25">
        <v>95000</v>
      </c>
    </row>
    <row r="245" spans="1:8" x14ac:dyDescent="0.25">
      <c r="A245" s="15" t="s">
        <v>148</v>
      </c>
      <c r="B245" s="16"/>
      <c r="C245" s="42"/>
      <c r="D245" s="42">
        <f>D243*D244/1000000</f>
        <v>7.5</v>
      </c>
      <c r="E245" s="42">
        <f t="shared" ref="E245:H245" si="32">E243*E244/1000000</f>
        <v>21.6</v>
      </c>
      <c r="F245" s="42">
        <f t="shared" si="32"/>
        <v>58.320000000000007</v>
      </c>
      <c r="G245" s="42">
        <f t="shared" si="32"/>
        <v>75.582720000000009</v>
      </c>
      <c r="H245" s="43">
        <f t="shared" si="32"/>
        <v>129.24645120000002</v>
      </c>
    </row>
    <row r="247" spans="1:8" x14ac:dyDescent="0.25">
      <c r="A247" s="6" t="s">
        <v>149</v>
      </c>
      <c r="B247" s="7"/>
      <c r="C247" s="44"/>
      <c r="D247" s="44">
        <v>400</v>
      </c>
      <c r="E247" s="44">
        <f>D247*1.05</f>
        <v>420</v>
      </c>
      <c r="F247" s="44">
        <f t="shared" ref="F247:H247" si="33">E247*1.05</f>
        <v>441</v>
      </c>
      <c r="G247" s="44">
        <f t="shared" si="33"/>
        <v>463.05</v>
      </c>
      <c r="H247" s="45">
        <f t="shared" si="33"/>
        <v>486.20250000000004</v>
      </c>
    </row>
    <row r="248" spans="1:8" x14ac:dyDescent="0.25">
      <c r="A248" s="10" t="s">
        <v>147</v>
      </c>
      <c r="B248" s="11"/>
      <c r="C248" s="24"/>
      <c r="D248" s="24">
        <v>7500</v>
      </c>
      <c r="E248" s="24">
        <v>20000</v>
      </c>
      <c r="F248" s="24">
        <v>50000</v>
      </c>
      <c r="G248" s="24">
        <v>60000</v>
      </c>
      <c r="H248" s="25">
        <v>95000</v>
      </c>
    </row>
    <row r="249" spans="1:8" x14ac:dyDescent="0.25">
      <c r="A249" s="15" t="s">
        <v>150</v>
      </c>
      <c r="B249" s="16"/>
      <c r="C249" s="42"/>
      <c r="D249" s="42">
        <f>D247*D248/1000000</f>
        <v>3</v>
      </c>
      <c r="E249" s="42">
        <f t="shared" ref="E249:H249" si="34">E247*E248/1000000</f>
        <v>8.4</v>
      </c>
      <c r="F249" s="42">
        <f t="shared" si="34"/>
        <v>22.05</v>
      </c>
      <c r="G249" s="42">
        <f t="shared" si="34"/>
        <v>27.783000000000001</v>
      </c>
      <c r="H249" s="43">
        <f t="shared" si="34"/>
        <v>46.189237500000004</v>
      </c>
    </row>
    <row r="251" spans="1:8" x14ac:dyDescent="0.25">
      <c r="A251" s="18" t="s">
        <v>151</v>
      </c>
      <c r="B251" s="7"/>
      <c r="C251" s="44"/>
      <c r="D251" s="44"/>
      <c r="E251" s="44"/>
      <c r="F251" s="44"/>
      <c r="G251" s="45"/>
    </row>
    <row r="252" spans="1:8" x14ac:dyDescent="0.25">
      <c r="A252" s="10" t="s">
        <v>87</v>
      </c>
      <c r="B252" s="11"/>
      <c r="C252" s="11">
        <f>D226*20%</f>
        <v>1.5</v>
      </c>
      <c r="D252" s="11">
        <f>(E226-D226)*10%</f>
        <v>1.4100000000000001</v>
      </c>
      <c r="E252" s="11">
        <f t="shared" ref="E252:G252" si="35">(F226-E226)*10%</f>
        <v>3.6720000000000006</v>
      </c>
      <c r="F252" s="11">
        <f t="shared" si="35"/>
        <v>1.7262720000000003</v>
      </c>
      <c r="G252" s="11">
        <f t="shared" si="35"/>
        <v>5.3663731200000022</v>
      </c>
    </row>
    <row r="253" spans="1:8" x14ac:dyDescent="0.25">
      <c r="A253" s="15"/>
      <c r="B253" s="16"/>
      <c r="C253" s="16"/>
      <c r="D253" s="62"/>
      <c r="E253" s="62"/>
      <c r="F253" s="62"/>
      <c r="G253" s="63"/>
    </row>
    <row r="254" spans="1:8" x14ac:dyDescent="0.25">
      <c r="C254" s="2"/>
      <c r="D254" s="2"/>
      <c r="E254" s="2"/>
      <c r="F254" s="2"/>
      <c r="G254" s="2"/>
    </row>
    <row r="255" spans="1:8" x14ac:dyDescent="0.25">
      <c r="A255" s="18" t="s">
        <v>152</v>
      </c>
      <c r="B255" s="7"/>
      <c r="C255" s="7"/>
      <c r="D255" s="9"/>
      <c r="E255" s="2"/>
      <c r="F255" s="2"/>
      <c r="G255" s="2"/>
    </row>
    <row r="256" spans="1:8" x14ac:dyDescent="0.25">
      <c r="A256" s="10" t="s">
        <v>153</v>
      </c>
      <c r="B256" s="14">
        <v>0.03</v>
      </c>
      <c r="C256" s="11"/>
      <c r="D256" s="12"/>
      <c r="E256" s="2"/>
      <c r="F256" s="2"/>
      <c r="G256" s="2"/>
    </row>
    <row r="257" spans="1:7" x14ac:dyDescent="0.25">
      <c r="A257" s="10" t="s">
        <v>154</v>
      </c>
      <c r="B257" s="14">
        <v>0.06</v>
      </c>
      <c r="C257" s="11"/>
      <c r="D257" s="12"/>
      <c r="E257" s="2"/>
      <c r="F257" s="2"/>
      <c r="G257" s="2"/>
    </row>
    <row r="258" spans="1:7" x14ac:dyDescent="0.25">
      <c r="A258" s="10" t="s">
        <v>130</v>
      </c>
      <c r="B258" s="14">
        <v>0.2</v>
      </c>
      <c r="C258" s="11"/>
      <c r="D258" s="12"/>
      <c r="E258" s="2"/>
      <c r="F258" s="2"/>
      <c r="G258" s="2"/>
    </row>
    <row r="259" spans="1:7" x14ac:dyDescent="0.25">
      <c r="A259" s="10" t="s">
        <v>155</v>
      </c>
      <c r="B259" s="11">
        <f>3.5*52/0.5</f>
        <v>364</v>
      </c>
      <c r="C259" s="11"/>
      <c r="D259" s="12"/>
      <c r="E259" s="2"/>
      <c r="F259" s="2"/>
      <c r="G259" s="2"/>
    </row>
    <row r="260" spans="1:7" x14ac:dyDescent="0.25">
      <c r="A260" s="10" t="s">
        <v>156</v>
      </c>
      <c r="B260" s="11">
        <v>156</v>
      </c>
      <c r="C260" s="11"/>
      <c r="D260" s="12"/>
      <c r="E260" s="2"/>
      <c r="F260" s="2"/>
      <c r="G260" s="2"/>
    </row>
    <row r="261" spans="1:7" x14ac:dyDescent="0.25">
      <c r="A261" s="10" t="s">
        <v>157</v>
      </c>
      <c r="B261" s="11">
        <v>1.3</v>
      </c>
      <c r="C261" s="11"/>
      <c r="D261" s="12"/>
      <c r="E261" s="2"/>
      <c r="F261" s="2"/>
      <c r="G261" s="2"/>
    </row>
    <row r="262" spans="1:7" x14ac:dyDescent="0.25">
      <c r="A262" s="10" t="s">
        <v>158</v>
      </c>
      <c r="B262" s="11"/>
      <c r="C262" s="11"/>
      <c r="D262" s="12"/>
      <c r="E262" s="2"/>
      <c r="F262" s="2"/>
      <c r="G262" s="2"/>
    </row>
    <row r="263" spans="1:7" x14ac:dyDescent="0.25">
      <c r="A263" s="10" t="s">
        <v>159</v>
      </c>
      <c r="B263" s="11">
        <f>3*125</f>
        <v>375</v>
      </c>
      <c r="C263" s="11"/>
      <c r="D263" s="12"/>
      <c r="E263" s="2"/>
      <c r="F263" s="2"/>
      <c r="G263" s="2"/>
    </row>
    <row r="264" spans="1:7" x14ac:dyDescent="0.25">
      <c r="A264" s="10" t="s">
        <v>160</v>
      </c>
      <c r="B264" s="11">
        <f>92*102/100</f>
        <v>93.84</v>
      </c>
      <c r="C264" s="11"/>
      <c r="D264" s="12"/>
      <c r="E264" s="2"/>
      <c r="F264" s="2"/>
      <c r="G264" s="2"/>
    </row>
    <row r="265" spans="1:7" x14ac:dyDescent="0.25">
      <c r="A265" s="10" t="s">
        <v>157</v>
      </c>
      <c r="B265" s="11">
        <v>1.8</v>
      </c>
      <c r="C265" s="11"/>
      <c r="D265" s="12"/>
      <c r="E265" s="2"/>
      <c r="F265" s="2"/>
      <c r="G265" s="2"/>
    </row>
    <row r="266" spans="1:7" x14ac:dyDescent="0.25">
      <c r="A266" s="10" t="s">
        <v>161</v>
      </c>
      <c r="B266" s="11"/>
      <c r="C266" s="11"/>
      <c r="D266" s="12"/>
      <c r="E266" s="2"/>
      <c r="F266" s="2"/>
      <c r="G266" s="2"/>
    </row>
    <row r="267" spans="1:7" x14ac:dyDescent="0.25">
      <c r="A267" s="10" t="s">
        <v>162</v>
      </c>
      <c r="B267" s="11" t="s">
        <v>29</v>
      </c>
      <c r="C267" s="11">
        <f>B265*(B263/(B263+B264*(0.8)))</f>
        <v>1.499760038393857</v>
      </c>
      <c r="D267" s="12"/>
      <c r="E267" s="2"/>
      <c r="F267" s="2"/>
      <c r="G267" s="2"/>
    </row>
    <row r="268" spans="1:7" x14ac:dyDescent="0.25">
      <c r="A268" s="10"/>
      <c r="B268" s="11"/>
      <c r="C268" s="24"/>
      <c r="D268" s="25"/>
    </row>
    <row r="269" spans="1:7" x14ac:dyDescent="0.25">
      <c r="A269" s="10" t="s">
        <v>163</v>
      </c>
      <c r="B269" s="11"/>
      <c r="C269" s="24"/>
      <c r="D269" s="25"/>
    </row>
    <row r="270" spans="1:7" ht="15.75" thickBot="1" x14ac:dyDescent="0.3">
      <c r="A270" s="10">
        <f>C267</f>
        <v>1.499760038393857</v>
      </c>
      <c r="B270" s="11" t="s">
        <v>29</v>
      </c>
      <c r="C270" s="24" t="s">
        <v>164</v>
      </c>
      <c r="D270" s="12">
        <f>B259/(B259+B260*0.8)</f>
        <v>0.74468085106382975</v>
      </c>
    </row>
    <row r="271" spans="1:7" ht="15.75" thickBot="1" x14ac:dyDescent="0.3">
      <c r="A271" s="64" t="s">
        <v>157</v>
      </c>
      <c r="B271" s="65" t="s">
        <v>29</v>
      </c>
      <c r="C271" s="66">
        <f>A270/D270</f>
        <v>2.0139634801288939</v>
      </c>
      <c r="D271" s="25"/>
    </row>
    <row r="272" spans="1:7" x14ac:dyDescent="0.25">
      <c r="A272" s="10"/>
      <c r="B272" s="11"/>
      <c r="C272" s="24"/>
      <c r="D272" s="25"/>
    </row>
    <row r="273" spans="1:4" x14ac:dyDescent="0.25">
      <c r="A273" s="10" t="s">
        <v>165</v>
      </c>
      <c r="B273" s="11" t="s">
        <v>29</v>
      </c>
      <c r="C273" s="11">
        <f>B256+B257*C271</f>
        <v>0.15083780880773362</v>
      </c>
      <c r="D273" s="25"/>
    </row>
    <row r="274" spans="1:4" x14ac:dyDescent="0.25">
      <c r="A274" s="10" t="s">
        <v>166</v>
      </c>
      <c r="B274" s="11" t="s">
        <v>29</v>
      </c>
      <c r="C274" s="11">
        <v>0.06</v>
      </c>
      <c r="D274" s="25"/>
    </row>
    <row r="275" spans="1:4" x14ac:dyDescent="0.25">
      <c r="A275" s="10" t="s">
        <v>167</v>
      </c>
      <c r="B275" s="11" t="s">
        <v>29</v>
      </c>
      <c r="C275" s="67">
        <f>C274*0.8</f>
        <v>4.8000000000000001E-2</v>
      </c>
      <c r="D275" s="25"/>
    </row>
    <row r="276" spans="1:4" x14ac:dyDescent="0.25">
      <c r="A276" s="10"/>
      <c r="B276" s="11"/>
      <c r="C276" s="24"/>
      <c r="D276" s="25"/>
    </row>
    <row r="277" spans="1:4" x14ac:dyDescent="0.25">
      <c r="A277" s="15" t="s">
        <v>168</v>
      </c>
      <c r="B277" s="16" t="s">
        <v>29</v>
      </c>
      <c r="C277" s="68">
        <f>(B259*C273+B260*C275)/(B259+B260)</f>
        <v>0.11998646616541353</v>
      </c>
      <c r="D277" s="43"/>
    </row>
    <row r="279" spans="1:4" x14ac:dyDescent="0.25">
      <c r="A279" s="1" t="s">
        <v>169</v>
      </c>
    </row>
    <row r="280" spans="1:4" x14ac:dyDescent="0.25">
      <c r="A280" s="2" t="s">
        <v>3</v>
      </c>
      <c r="B280" s="2">
        <f>SUM(F237:H237)</f>
        <v>107.92935146813385</v>
      </c>
    </row>
    <row r="281" spans="1:4" x14ac:dyDescent="0.25">
      <c r="A281" s="2" t="s">
        <v>5</v>
      </c>
      <c r="B281" s="2">
        <v>113</v>
      </c>
    </row>
    <row r="282" spans="1:4" x14ac:dyDescent="0.25">
      <c r="A282" s="2" t="s">
        <v>170</v>
      </c>
      <c r="B282" s="47">
        <v>0.3</v>
      </c>
    </row>
    <row r="283" spans="1:4" x14ac:dyDescent="0.25">
      <c r="A283" s="2" t="s">
        <v>7</v>
      </c>
      <c r="B283" s="47">
        <v>0.03</v>
      </c>
    </row>
    <row r="284" spans="1:4" x14ac:dyDescent="0.25">
      <c r="A284" s="2" t="s">
        <v>9</v>
      </c>
      <c r="B284" s="2">
        <v>2</v>
      </c>
      <c r="C284" s="46" t="s">
        <v>114</v>
      </c>
    </row>
    <row r="286" spans="1:4" x14ac:dyDescent="0.25">
      <c r="A286" s="1" t="s">
        <v>17</v>
      </c>
    </row>
    <row r="287" spans="1:4" x14ac:dyDescent="0.25">
      <c r="A287" s="2" t="s">
        <v>47</v>
      </c>
      <c r="B287" s="48">
        <v>0.94179999999999997</v>
      </c>
    </row>
    <row r="289" spans="1:4" x14ac:dyDescent="0.25">
      <c r="A289" s="1" t="s">
        <v>48</v>
      </c>
    </row>
    <row r="290" spans="1:4" x14ac:dyDescent="0.25">
      <c r="A290" s="2" t="s">
        <v>49</v>
      </c>
      <c r="B290" s="2">
        <v>0.245</v>
      </c>
      <c r="C290" s="46" t="s">
        <v>171</v>
      </c>
    </row>
    <row r="291" spans="1:4" x14ac:dyDescent="0.25">
      <c r="A291" s="2" t="s">
        <v>50</v>
      </c>
      <c r="B291" s="2">
        <v>-0.18</v>
      </c>
    </row>
    <row r="293" spans="1:4" ht="15.75" thickBot="1" x14ac:dyDescent="0.3">
      <c r="A293" s="1" t="s">
        <v>52</v>
      </c>
    </row>
    <row r="294" spans="1:4" x14ac:dyDescent="0.25">
      <c r="A294" s="69" t="s">
        <v>28</v>
      </c>
      <c r="B294" s="70">
        <f>0.0987+0.5</f>
        <v>0.59870000000000001</v>
      </c>
      <c r="C294" s="2">
        <v>0.2</v>
      </c>
      <c r="D294" s="2">
        <v>0.05</v>
      </c>
    </row>
    <row r="295" spans="1:4" ht="15.75" thickBot="1" x14ac:dyDescent="0.3">
      <c r="A295" s="71" t="s">
        <v>33</v>
      </c>
      <c r="B295" s="72">
        <f>-0.0714+0.5</f>
        <v>0.42859999999999998</v>
      </c>
      <c r="C295" s="2">
        <v>0.1</v>
      </c>
      <c r="D295" s="2">
        <v>0.08</v>
      </c>
    </row>
    <row r="297" spans="1:4" ht="15.75" thickBot="1" x14ac:dyDescent="0.3">
      <c r="A297" s="1" t="s">
        <v>54</v>
      </c>
    </row>
    <row r="298" spans="1:4" ht="15.75" thickBot="1" x14ac:dyDescent="0.3">
      <c r="A298" s="73" t="s">
        <v>36</v>
      </c>
      <c r="B298" s="65" t="s">
        <v>29</v>
      </c>
      <c r="C298" s="66">
        <v>110.52</v>
      </c>
      <c r="D298" s="2">
        <f>B280*B294-(B281*B287*B295)</f>
        <v>19.004233483971731</v>
      </c>
    </row>
    <row r="299" spans="1:4" ht="15.75" thickBot="1" x14ac:dyDescent="0.3"/>
    <row r="300" spans="1:4" ht="15.75" thickBot="1" x14ac:dyDescent="0.3">
      <c r="A300" s="74" t="s">
        <v>39</v>
      </c>
      <c r="B300" s="58" t="s">
        <v>29</v>
      </c>
      <c r="C300" s="75">
        <v>109</v>
      </c>
      <c r="D300" s="2">
        <f>D298-B280+B281*B287</f>
        <v>17.498282015837887</v>
      </c>
    </row>
    <row r="301" spans="1:4" x14ac:dyDescent="0.25">
      <c r="A301" s="1" t="s">
        <v>172</v>
      </c>
    </row>
    <row r="303" spans="1:4" ht="15.75" thickBot="1" x14ac:dyDescent="0.3">
      <c r="A303" s="1" t="s">
        <v>173</v>
      </c>
    </row>
    <row r="304" spans="1:4" x14ac:dyDescent="0.25">
      <c r="A304" s="2" t="s">
        <v>174</v>
      </c>
      <c r="D304" s="76">
        <f>C239</f>
        <v>-8.8696462713923978</v>
      </c>
    </row>
    <row r="305" spans="1:6" ht="15.75" thickBot="1" x14ac:dyDescent="0.3">
      <c r="A305" s="2" t="s">
        <v>175</v>
      </c>
      <c r="D305" s="77">
        <f>D300</f>
        <v>17.498282015837887</v>
      </c>
    </row>
    <row r="306" spans="1:6" x14ac:dyDescent="0.25">
      <c r="A306" s="1" t="s">
        <v>173</v>
      </c>
      <c r="D306" s="53">
        <f>SUM(D304:D305)</f>
        <v>8.6286357444454893</v>
      </c>
    </row>
    <row r="309" spans="1:6" x14ac:dyDescent="0.25">
      <c r="A309" s="2" t="s">
        <v>176</v>
      </c>
    </row>
    <row r="310" spans="1:6" x14ac:dyDescent="0.25">
      <c r="A310" s="1" t="s">
        <v>177</v>
      </c>
    </row>
    <row r="311" spans="1:6" x14ac:dyDescent="0.25">
      <c r="A311" s="2" t="s">
        <v>178</v>
      </c>
    </row>
    <row r="313" spans="1:6" x14ac:dyDescent="0.25">
      <c r="A313" s="2" t="s">
        <v>66</v>
      </c>
    </row>
    <row r="314" spans="1:6" x14ac:dyDescent="0.25">
      <c r="A314" s="2" t="s">
        <v>3</v>
      </c>
      <c r="B314" s="2" t="s">
        <v>179</v>
      </c>
      <c r="E314" s="46">
        <f>E315+2</f>
        <v>12</v>
      </c>
      <c r="F314" s="46" t="s">
        <v>180</v>
      </c>
    </row>
    <row r="315" spans="1:6" x14ac:dyDescent="0.25">
      <c r="A315" s="2" t="s">
        <v>5</v>
      </c>
      <c r="B315" s="2" t="s">
        <v>181</v>
      </c>
      <c r="E315" s="46">
        <v>10</v>
      </c>
      <c r="F315" s="46" t="s">
        <v>180</v>
      </c>
    </row>
    <row r="316" spans="1:6" x14ac:dyDescent="0.25">
      <c r="A316" s="2" t="s">
        <v>7</v>
      </c>
      <c r="B316" s="2" t="s">
        <v>111</v>
      </c>
      <c r="E316" s="3">
        <v>0.06</v>
      </c>
    </row>
    <row r="317" spans="1:6" x14ac:dyDescent="0.25">
      <c r="A317" s="2" t="s">
        <v>13</v>
      </c>
      <c r="B317" s="2" t="s">
        <v>46</v>
      </c>
      <c r="E317" s="3">
        <v>0.2</v>
      </c>
    </row>
    <row r="318" spans="1:6" x14ac:dyDescent="0.25">
      <c r="A318" s="2" t="s">
        <v>9</v>
      </c>
      <c r="B318" s="2" t="s">
        <v>43</v>
      </c>
      <c r="E318" s="2" t="s">
        <v>182</v>
      </c>
    </row>
    <row r="320" spans="1:6" x14ac:dyDescent="0.25">
      <c r="A320" s="1" t="s">
        <v>17</v>
      </c>
    </row>
    <row r="321" spans="1:5" x14ac:dyDescent="0.25">
      <c r="A321" s="2" t="s">
        <v>47</v>
      </c>
      <c r="B321" s="48">
        <v>0.83520000000000005</v>
      </c>
    </row>
    <row r="323" spans="1:5" x14ac:dyDescent="0.25">
      <c r="A323" s="1" t="s">
        <v>48</v>
      </c>
    </row>
    <row r="324" spans="1:5" x14ac:dyDescent="0.25">
      <c r="A324" s="2" t="s">
        <v>49</v>
      </c>
      <c r="B324" s="2" t="s">
        <v>29</v>
      </c>
      <c r="C324" s="2">
        <v>1.2190000000000001</v>
      </c>
      <c r="E324" s="46" t="s">
        <v>183</v>
      </c>
    </row>
    <row r="325" spans="1:5" x14ac:dyDescent="0.25">
      <c r="A325" s="2" t="s">
        <v>50</v>
      </c>
      <c r="B325" s="2" t="s">
        <v>29</v>
      </c>
      <c r="C325" s="2">
        <v>0.87</v>
      </c>
    </row>
    <row r="327" spans="1:5" x14ac:dyDescent="0.25">
      <c r="A327" s="1" t="s">
        <v>52</v>
      </c>
    </row>
    <row r="328" spans="1:5" x14ac:dyDescent="0.25">
      <c r="A328" s="2" t="s">
        <v>28</v>
      </c>
      <c r="B328" s="48">
        <f>0.5+0.3888</f>
        <v>0.88880000000000003</v>
      </c>
      <c r="D328" s="51">
        <v>1.2</v>
      </c>
      <c r="E328" s="51">
        <v>0.02</v>
      </c>
    </row>
    <row r="330" spans="1:5" x14ac:dyDescent="0.25">
      <c r="A330" s="2" t="s">
        <v>33</v>
      </c>
      <c r="B330" s="48">
        <f>0.5+0.3078</f>
        <v>0.80780000000000007</v>
      </c>
      <c r="D330" s="51">
        <v>0.8</v>
      </c>
      <c r="E330" s="51">
        <v>7.0000000000000007E-2</v>
      </c>
    </row>
    <row r="331" spans="1:5" ht="15.75" thickBot="1" x14ac:dyDescent="0.3"/>
    <row r="332" spans="1:5" ht="15.75" thickBot="1" x14ac:dyDescent="0.3">
      <c r="A332" s="73" t="s">
        <v>36</v>
      </c>
      <c r="B332" s="65" t="s">
        <v>29</v>
      </c>
      <c r="C332" s="66">
        <f>(E314*B328)-E315*B330*B321</f>
        <v>3.9188543999999998</v>
      </c>
    </row>
    <row r="334" spans="1:5" ht="17.25" x14ac:dyDescent="0.4">
      <c r="A334" s="78" t="s">
        <v>173</v>
      </c>
    </row>
    <row r="335" spans="1:5" x14ac:dyDescent="0.25">
      <c r="A335" s="2" t="s">
        <v>184</v>
      </c>
      <c r="C335" s="2">
        <v>2</v>
      </c>
      <c r="D335" s="46" t="s">
        <v>185</v>
      </c>
    </row>
    <row r="336" spans="1:5" x14ac:dyDescent="0.25">
      <c r="A336" s="2" t="s">
        <v>186</v>
      </c>
      <c r="C336" s="2">
        <f>C332</f>
        <v>3.9188543999999998</v>
      </c>
    </row>
    <row r="337" spans="1:5" x14ac:dyDescent="0.25">
      <c r="A337" s="2" t="s">
        <v>173</v>
      </c>
      <c r="C337" s="2">
        <f>SUM(C335:C336)</f>
        <v>5.9188543999999998</v>
      </c>
    </row>
    <row r="339" spans="1:5" x14ac:dyDescent="0.25">
      <c r="A339" s="1" t="s">
        <v>187</v>
      </c>
    </row>
    <row r="340" spans="1:5" x14ac:dyDescent="0.25">
      <c r="A340" s="2" t="s">
        <v>75</v>
      </c>
      <c r="B340" s="2">
        <v>4</v>
      </c>
      <c r="C340" s="46" t="s">
        <v>120</v>
      </c>
    </row>
    <row r="341" spans="1:5" x14ac:dyDescent="0.25">
      <c r="A341" s="2" t="s">
        <v>188</v>
      </c>
      <c r="B341" s="47">
        <v>0.1</v>
      </c>
    </row>
    <row r="343" spans="1:5" x14ac:dyDescent="0.25">
      <c r="A343" s="1" t="s">
        <v>189</v>
      </c>
    </row>
    <row r="344" spans="1:5" x14ac:dyDescent="0.25">
      <c r="A344" s="2" t="s">
        <v>190</v>
      </c>
    </row>
    <row r="346" spans="1:5" x14ac:dyDescent="0.25">
      <c r="A346" s="2" t="s">
        <v>191</v>
      </c>
      <c r="C346" s="46" t="s">
        <v>5</v>
      </c>
      <c r="D346" s="46">
        <v>24</v>
      </c>
      <c r="E346" s="46" t="s">
        <v>120</v>
      </c>
    </row>
    <row r="347" spans="1:5" x14ac:dyDescent="0.25">
      <c r="A347" s="2" t="s">
        <v>192</v>
      </c>
      <c r="C347" s="46" t="s">
        <v>3</v>
      </c>
      <c r="D347" s="46">
        <f>D346+B340</f>
        <v>28</v>
      </c>
      <c r="E347" s="46" t="s">
        <v>120</v>
      </c>
    </row>
    <row r="348" spans="1:5" x14ac:dyDescent="0.25">
      <c r="A348" s="2" t="s">
        <v>193</v>
      </c>
      <c r="C348" s="46" t="s">
        <v>9</v>
      </c>
      <c r="D348" s="46">
        <v>2</v>
      </c>
      <c r="E348" s="46" t="s">
        <v>114</v>
      </c>
    </row>
    <row r="349" spans="1:5" x14ac:dyDescent="0.25">
      <c r="A349" s="2" t="s">
        <v>46</v>
      </c>
      <c r="C349" s="46" t="s">
        <v>13</v>
      </c>
      <c r="D349" s="3">
        <v>0.25</v>
      </c>
    </row>
    <row r="350" spans="1:5" x14ac:dyDescent="0.25">
      <c r="A350" s="2" t="s">
        <v>111</v>
      </c>
      <c r="C350" s="46" t="s">
        <v>7</v>
      </c>
      <c r="D350" s="3">
        <v>0.05</v>
      </c>
    </row>
    <row r="352" spans="1:5" x14ac:dyDescent="0.25">
      <c r="A352" s="2" t="s">
        <v>47</v>
      </c>
      <c r="B352" s="2">
        <v>0.90500000000000003</v>
      </c>
    </row>
    <row r="354" spans="1:5" x14ac:dyDescent="0.25">
      <c r="A354" s="2" t="s">
        <v>49</v>
      </c>
      <c r="B354" s="2">
        <v>0.89</v>
      </c>
    </row>
    <row r="355" spans="1:5" x14ac:dyDescent="0.25">
      <c r="A355" s="2" t="s">
        <v>50</v>
      </c>
      <c r="B355" s="2">
        <v>0.54</v>
      </c>
    </row>
    <row r="357" spans="1:5" x14ac:dyDescent="0.25">
      <c r="A357" s="2" t="s">
        <v>28</v>
      </c>
      <c r="B357" s="48">
        <f>0.5+0.3133</f>
        <v>0.81330000000000002</v>
      </c>
      <c r="D357" s="2">
        <v>0.8</v>
      </c>
      <c r="E357" s="2">
        <v>0.09</v>
      </c>
    </row>
    <row r="358" spans="1:5" x14ac:dyDescent="0.25">
      <c r="A358" s="2" t="s">
        <v>33</v>
      </c>
      <c r="B358" s="48">
        <f>0.5+0.2054</f>
        <v>0.70540000000000003</v>
      </c>
      <c r="D358" s="2">
        <v>0.5</v>
      </c>
      <c r="E358" s="2">
        <v>0.04</v>
      </c>
    </row>
    <row r="360" spans="1:5" x14ac:dyDescent="0.25">
      <c r="A360" s="1" t="s">
        <v>55</v>
      </c>
      <c r="B360" s="1" t="s">
        <v>29</v>
      </c>
      <c r="C360" s="1">
        <f>(D347*B357)-(D346*B358*B352)</f>
        <v>7.4511120000000002</v>
      </c>
    </row>
    <row r="361" spans="1:5" x14ac:dyDescent="0.25">
      <c r="A361" s="1"/>
      <c r="B361" s="1"/>
      <c r="C361" s="1"/>
    </row>
    <row r="362" spans="1:5" ht="17.25" x14ac:dyDescent="0.4">
      <c r="A362" s="78" t="s">
        <v>194</v>
      </c>
    </row>
    <row r="363" spans="1:5" ht="17.25" x14ac:dyDescent="0.4">
      <c r="A363" s="79" t="s">
        <v>195</v>
      </c>
    </row>
    <row r="364" spans="1:5" x14ac:dyDescent="0.25">
      <c r="A364" s="1" t="s">
        <v>173</v>
      </c>
    </row>
    <row r="365" spans="1:5" x14ac:dyDescent="0.25">
      <c r="A365" s="2" t="s">
        <v>196</v>
      </c>
      <c r="C365" s="46">
        <f>B340</f>
        <v>4</v>
      </c>
    </row>
    <row r="366" spans="1:5" x14ac:dyDescent="0.25">
      <c r="A366" s="2" t="s">
        <v>197</v>
      </c>
      <c r="C366" s="46">
        <f>C360</f>
        <v>7.4511120000000002</v>
      </c>
    </row>
    <row r="367" spans="1:5" x14ac:dyDescent="0.25">
      <c r="A367" s="2" t="s">
        <v>173</v>
      </c>
      <c r="C367" s="46">
        <f>SUM(C365:C366)</f>
        <v>11.451112</v>
      </c>
    </row>
    <row r="369" spans="1:8" x14ac:dyDescent="0.25">
      <c r="A369" s="1" t="s">
        <v>198</v>
      </c>
    </row>
    <row r="370" spans="1:8" x14ac:dyDescent="0.25">
      <c r="A370" s="80"/>
      <c r="B370" s="80"/>
      <c r="C370" s="80"/>
      <c r="D370" s="80"/>
      <c r="E370" s="80"/>
      <c r="F370" s="80"/>
      <c r="G370" s="80"/>
      <c r="H370" s="81"/>
    </row>
    <row r="371" spans="1:8" x14ac:dyDescent="0.25">
      <c r="A371" s="80" t="s">
        <v>199</v>
      </c>
      <c r="B371" s="80"/>
      <c r="C371" s="80"/>
      <c r="D371" s="80"/>
      <c r="E371" s="80"/>
      <c r="F371" s="80"/>
      <c r="G371" s="80"/>
      <c r="H371" s="81"/>
    </row>
    <row r="372" spans="1:8" x14ac:dyDescent="0.25">
      <c r="A372" s="80" t="s">
        <v>200</v>
      </c>
      <c r="B372" s="80"/>
      <c r="C372" s="80"/>
      <c r="D372" s="80"/>
      <c r="E372" s="80"/>
      <c r="F372" s="80"/>
      <c r="G372" s="80"/>
      <c r="H372" s="81"/>
    </row>
    <row r="373" spans="1:8" x14ac:dyDescent="0.25">
      <c r="A373" s="80"/>
      <c r="B373" s="80"/>
      <c r="C373" s="80"/>
      <c r="D373" s="80"/>
      <c r="E373" s="80"/>
      <c r="F373" s="80"/>
      <c r="G373" s="80"/>
      <c r="H373" s="81"/>
    </row>
    <row r="374" spans="1:8" x14ac:dyDescent="0.25">
      <c r="A374" s="82" t="s">
        <v>201</v>
      </c>
      <c r="B374" s="80"/>
      <c r="C374" s="80"/>
      <c r="D374" s="80"/>
      <c r="E374" s="80"/>
      <c r="F374" s="80"/>
      <c r="G374" s="80"/>
      <c r="H374" s="81"/>
    </row>
    <row r="375" spans="1:8" x14ac:dyDescent="0.25">
      <c r="A375" s="80" t="s">
        <v>202</v>
      </c>
      <c r="B375" s="80"/>
      <c r="C375" s="80">
        <v>1.01</v>
      </c>
      <c r="D375" s="81" t="s">
        <v>185</v>
      </c>
      <c r="E375" s="81"/>
      <c r="F375" s="81"/>
      <c r="G375" s="81"/>
      <c r="H375" s="81"/>
    </row>
    <row r="376" spans="1:8" x14ac:dyDescent="0.25">
      <c r="A376" s="80"/>
      <c r="B376" s="80"/>
      <c r="C376" s="81"/>
      <c r="D376" s="81"/>
      <c r="E376" s="81"/>
      <c r="F376" s="81"/>
      <c r="G376" s="81"/>
      <c r="H376" s="81"/>
    </row>
    <row r="377" spans="1:8" x14ac:dyDescent="0.25">
      <c r="A377" s="80" t="s">
        <v>203</v>
      </c>
      <c r="C377" s="80" t="s">
        <v>5</v>
      </c>
      <c r="D377" s="81">
        <v>15</v>
      </c>
      <c r="E377" s="81"/>
      <c r="F377" s="81"/>
      <c r="G377" s="81"/>
      <c r="H377" s="81"/>
    </row>
    <row r="378" spans="1:8" x14ac:dyDescent="0.25">
      <c r="A378" s="80" t="s">
        <v>204</v>
      </c>
      <c r="B378" s="80"/>
      <c r="C378" s="81" t="s">
        <v>3</v>
      </c>
      <c r="D378" s="81">
        <f>0+15</f>
        <v>15</v>
      </c>
      <c r="E378" s="81"/>
      <c r="F378" s="81"/>
      <c r="G378" s="81"/>
      <c r="H378" s="81"/>
    </row>
    <row r="379" spans="1:8" x14ac:dyDescent="0.25">
      <c r="A379" s="2" t="s">
        <v>205</v>
      </c>
    </row>
    <row r="380" spans="1:8" x14ac:dyDescent="0.25">
      <c r="A380" s="2" t="s">
        <v>206</v>
      </c>
      <c r="D380" s="2">
        <f>D378/1.12^3</f>
        <v>10.676703717201162</v>
      </c>
    </row>
    <row r="383" spans="1:8" x14ac:dyDescent="0.25">
      <c r="A383" s="2" t="s">
        <v>111</v>
      </c>
      <c r="C383" s="46" t="s">
        <v>7</v>
      </c>
      <c r="D383" s="3">
        <v>0.04</v>
      </c>
    </row>
    <row r="384" spans="1:8" x14ac:dyDescent="0.25">
      <c r="A384" s="2" t="s">
        <v>46</v>
      </c>
      <c r="C384" s="46" t="s">
        <v>13</v>
      </c>
      <c r="D384" s="3">
        <v>0.3</v>
      </c>
    </row>
    <row r="385" spans="1:5" x14ac:dyDescent="0.25">
      <c r="A385" s="2" t="s">
        <v>43</v>
      </c>
      <c r="C385" s="46" t="s">
        <v>9</v>
      </c>
      <c r="D385" s="2">
        <v>3</v>
      </c>
      <c r="E385" s="46" t="s">
        <v>114</v>
      </c>
    </row>
    <row r="387" spans="1:5" x14ac:dyDescent="0.25">
      <c r="A387" s="2" t="s">
        <v>47</v>
      </c>
      <c r="B387" s="2">
        <v>0.88690000000000002</v>
      </c>
    </row>
    <row r="389" spans="1:5" x14ac:dyDescent="0.25">
      <c r="A389" s="2" t="s">
        <v>49</v>
      </c>
      <c r="B389" s="2" t="s">
        <v>29</v>
      </c>
      <c r="C389" s="2">
        <v>-0.16300000000000001</v>
      </c>
    </row>
    <row r="390" spans="1:5" x14ac:dyDescent="0.25">
      <c r="A390" s="2" t="s">
        <v>50</v>
      </c>
      <c r="B390" s="2" t="s">
        <v>29</v>
      </c>
      <c r="C390" s="2">
        <v>-0.68</v>
      </c>
    </row>
    <row r="392" spans="1:5" x14ac:dyDescent="0.25">
      <c r="A392" s="1" t="s">
        <v>28</v>
      </c>
      <c r="B392" s="1" t="s">
        <v>29</v>
      </c>
      <c r="C392" s="83">
        <f>0.5-0.0636</f>
        <v>0.43640000000000001</v>
      </c>
      <c r="D392" s="51">
        <v>0.1</v>
      </c>
      <c r="E392" s="51">
        <v>0.06</v>
      </c>
    </row>
    <row r="393" spans="1:5" x14ac:dyDescent="0.25">
      <c r="A393" s="1" t="s">
        <v>33</v>
      </c>
      <c r="B393" s="1" t="s">
        <v>29</v>
      </c>
      <c r="C393" s="83">
        <f>0.5-0.2517</f>
        <v>0.24830000000000002</v>
      </c>
      <c r="D393" s="51">
        <v>0.6</v>
      </c>
      <c r="E393" s="51">
        <v>0.08</v>
      </c>
    </row>
    <row r="395" spans="1:5" x14ac:dyDescent="0.25">
      <c r="A395" s="1" t="s">
        <v>36</v>
      </c>
      <c r="B395" s="1" t="s">
        <v>29</v>
      </c>
      <c r="C395" s="1">
        <f>(C392*D380)-C393*D377*B387</f>
        <v>1.3560544521865872</v>
      </c>
    </row>
    <row r="399" spans="1:5" x14ac:dyDescent="0.25">
      <c r="A399" s="1" t="s">
        <v>207</v>
      </c>
    </row>
    <row r="400" spans="1:5" x14ac:dyDescent="0.25">
      <c r="A400" s="2" t="s">
        <v>208</v>
      </c>
      <c r="C400" s="46">
        <v>100000</v>
      </c>
    </row>
    <row r="401" spans="1:4" x14ac:dyDescent="0.25">
      <c r="A401" s="2" t="s">
        <v>209</v>
      </c>
      <c r="B401" s="2" t="s">
        <v>3</v>
      </c>
      <c r="C401" s="46">
        <v>2</v>
      </c>
    </row>
    <row r="402" spans="1:4" x14ac:dyDescent="0.25">
      <c r="A402" s="2" t="s">
        <v>210</v>
      </c>
      <c r="B402" s="2" t="s">
        <v>5</v>
      </c>
      <c r="C402" s="2">
        <v>2.2000000000000002</v>
      </c>
    </row>
    <row r="403" spans="1:4" x14ac:dyDescent="0.25">
      <c r="A403" s="2" t="s">
        <v>211</v>
      </c>
      <c r="B403" s="2" t="s">
        <v>9</v>
      </c>
      <c r="C403" s="2">
        <v>0.25</v>
      </c>
      <c r="D403" s="46" t="s">
        <v>114</v>
      </c>
    </row>
    <row r="404" spans="1:4" x14ac:dyDescent="0.25">
      <c r="A404" s="2" t="s">
        <v>6</v>
      </c>
      <c r="B404" s="2" t="s">
        <v>7</v>
      </c>
      <c r="C404" s="3">
        <v>0.06</v>
      </c>
    </row>
    <row r="405" spans="1:4" x14ac:dyDescent="0.25">
      <c r="A405" s="2" t="s">
        <v>212</v>
      </c>
      <c r="B405" s="2" t="s">
        <v>13</v>
      </c>
      <c r="C405" s="3">
        <v>0.5</v>
      </c>
    </row>
    <row r="407" spans="1:4" x14ac:dyDescent="0.25">
      <c r="A407" s="2" t="s">
        <v>47</v>
      </c>
      <c r="B407" s="2">
        <v>0.98499999999999999</v>
      </c>
    </row>
    <row r="408" spans="1:4" x14ac:dyDescent="0.25">
      <c r="A408" s="2" t="s">
        <v>49</v>
      </c>
      <c r="B408" s="2">
        <v>-0.19600000000000001</v>
      </c>
    </row>
    <row r="409" spans="1:4" x14ac:dyDescent="0.25">
      <c r="A409" s="84" t="s">
        <v>28</v>
      </c>
      <c r="B409" s="85">
        <f>0.5-0.0793</f>
        <v>0.42070000000000002</v>
      </c>
      <c r="C409" s="2">
        <v>0.2</v>
      </c>
      <c r="D409" s="2">
        <v>0</v>
      </c>
    </row>
    <row r="411" spans="1:4" ht="17.25" x14ac:dyDescent="0.25">
      <c r="A411" s="1" t="s">
        <v>213</v>
      </c>
      <c r="B411" s="86" t="s">
        <v>214</v>
      </c>
      <c r="C411" s="86"/>
    </row>
    <row r="412" spans="1:4" x14ac:dyDescent="0.25">
      <c r="A412" s="1"/>
      <c r="B412" s="87" t="s">
        <v>28</v>
      </c>
      <c r="C412" s="87"/>
    </row>
    <row r="414" spans="1:4" x14ac:dyDescent="0.25">
      <c r="A414" s="2" t="s">
        <v>213</v>
      </c>
      <c r="B414" s="2">
        <f>C400/B409</f>
        <v>237699.0729736154</v>
      </c>
    </row>
    <row r="415" spans="1:4" x14ac:dyDescent="0.25">
      <c r="A415" s="2" t="s">
        <v>215</v>
      </c>
    </row>
    <row r="417" spans="1:16" x14ac:dyDescent="0.25">
      <c r="A417" s="2" t="s">
        <v>216</v>
      </c>
    </row>
    <row r="422" spans="1:16" x14ac:dyDescent="0.25">
      <c r="A422" s="1" t="s">
        <v>217</v>
      </c>
    </row>
    <row r="423" spans="1:16" x14ac:dyDescent="0.25">
      <c r="A423" s="2" t="s">
        <v>218</v>
      </c>
      <c r="C423" s="46">
        <v>50</v>
      </c>
      <c r="D423" s="46" t="s">
        <v>219</v>
      </c>
      <c r="E423" s="46" t="s">
        <v>220</v>
      </c>
      <c r="F423" s="46">
        <v>16.2</v>
      </c>
      <c r="H423" s="46">
        <v>23</v>
      </c>
    </row>
    <row r="424" spans="1:16" x14ac:dyDescent="0.25">
      <c r="A424" s="2">
        <v>90</v>
      </c>
      <c r="C424" s="46" t="s">
        <v>221</v>
      </c>
      <c r="D424" s="46">
        <v>73.8</v>
      </c>
      <c r="F424" s="46">
        <v>41.4</v>
      </c>
    </row>
    <row r="425" spans="1:16" x14ac:dyDescent="0.25">
      <c r="A425" s="2" t="s">
        <v>56</v>
      </c>
      <c r="G425" s="46" t="s">
        <v>222</v>
      </c>
      <c r="H425" s="46" t="s">
        <v>223</v>
      </c>
      <c r="I425" s="2" t="s">
        <v>224</v>
      </c>
      <c r="J425" s="2" t="s">
        <v>225</v>
      </c>
      <c r="K425" s="2" t="s">
        <v>226</v>
      </c>
      <c r="M425" s="2" t="s">
        <v>227</v>
      </c>
    </row>
    <row r="426" spans="1:16" x14ac:dyDescent="0.25">
      <c r="A426" s="2" t="s">
        <v>228</v>
      </c>
      <c r="B426" s="2" t="s">
        <v>229</v>
      </c>
      <c r="G426" s="46" t="s">
        <v>13</v>
      </c>
      <c r="H426" s="46" t="s">
        <v>230</v>
      </c>
    </row>
    <row r="427" spans="1:16" x14ac:dyDescent="0.25">
      <c r="A427" s="2" t="s">
        <v>231</v>
      </c>
      <c r="I427" s="2" t="s">
        <v>232</v>
      </c>
    </row>
    <row r="428" spans="1:16" x14ac:dyDescent="0.25">
      <c r="A428" s="2">
        <v>0</v>
      </c>
      <c r="B428" s="2">
        <v>1</v>
      </c>
      <c r="C428" s="46">
        <v>2</v>
      </c>
      <c r="D428" s="46">
        <v>3</v>
      </c>
      <c r="E428" s="46">
        <v>4</v>
      </c>
      <c r="F428" s="46">
        <v>5</v>
      </c>
      <c r="H428" s="46" t="s">
        <v>233</v>
      </c>
    </row>
    <row r="429" spans="1:16" x14ac:dyDescent="0.25">
      <c r="A429" s="2" t="s">
        <v>234</v>
      </c>
      <c r="C429" s="46">
        <v>1209.5999999999999</v>
      </c>
      <c r="D429" s="46">
        <v>1905.12</v>
      </c>
      <c r="E429" s="46">
        <v>4000.75</v>
      </c>
      <c r="F429" s="46">
        <v>3640.68</v>
      </c>
      <c r="G429" s="46">
        <v>2205.41</v>
      </c>
      <c r="K429" s="2">
        <v>0</v>
      </c>
      <c r="L429" s="2">
        <v>1</v>
      </c>
      <c r="M429" s="2">
        <v>2</v>
      </c>
      <c r="N429" s="2">
        <v>3</v>
      </c>
      <c r="O429" s="2">
        <v>4</v>
      </c>
      <c r="P429" s="2">
        <v>5</v>
      </c>
    </row>
    <row r="430" spans="1:16" x14ac:dyDescent="0.25">
      <c r="A430" s="2" t="s">
        <v>235</v>
      </c>
      <c r="C430" s="46">
        <v>-511.5</v>
      </c>
      <c r="D430" s="46">
        <v>-843.98</v>
      </c>
      <c r="E430" s="46">
        <v>-1856.75</v>
      </c>
      <c r="F430" s="46">
        <v>-1770.1</v>
      </c>
      <c r="G430" s="46">
        <v>-1123.33</v>
      </c>
      <c r="I430" s="2" t="s">
        <v>236</v>
      </c>
      <c r="K430" s="2">
        <v>72</v>
      </c>
      <c r="L430" s="2">
        <v>76.239999999999995</v>
      </c>
      <c r="M430" s="2">
        <v>80.72</v>
      </c>
      <c r="N430" s="2">
        <v>85.47</v>
      </c>
      <c r="O430" s="2">
        <v>90.5</v>
      </c>
      <c r="P430" s="2">
        <v>95.82</v>
      </c>
    </row>
    <row r="431" spans="1:16" x14ac:dyDescent="0.25">
      <c r="A431" s="2" t="s">
        <v>237</v>
      </c>
      <c r="C431" s="46">
        <v>-160.09</v>
      </c>
      <c r="D431" s="46">
        <v>-266.98</v>
      </c>
      <c r="E431" s="46">
        <v>-593.64</v>
      </c>
      <c r="F431" s="46">
        <v>-571.99</v>
      </c>
      <c r="G431" s="46">
        <v>-366.88</v>
      </c>
      <c r="I431" s="2" t="s">
        <v>238</v>
      </c>
      <c r="J431" s="2">
        <v>0.08</v>
      </c>
    </row>
    <row r="432" spans="1:16" x14ac:dyDescent="0.25">
      <c r="A432" s="2" t="s">
        <v>239</v>
      </c>
      <c r="C432" s="46">
        <v>-409.2</v>
      </c>
      <c r="D432" s="46">
        <v>-168.8</v>
      </c>
      <c r="E432" s="46">
        <v>0</v>
      </c>
      <c r="F432" s="46">
        <v>0</v>
      </c>
      <c r="G432" s="46">
        <v>0</v>
      </c>
      <c r="I432" s="2" t="s">
        <v>240</v>
      </c>
      <c r="J432" s="2">
        <v>0.02</v>
      </c>
    </row>
    <row r="433" spans="1:15" x14ac:dyDescent="0.25">
      <c r="A433" s="2" t="s">
        <v>241</v>
      </c>
      <c r="C433" s="46">
        <v>128.81</v>
      </c>
      <c r="D433" s="46">
        <v>625.37</v>
      </c>
      <c r="E433" s="46">
        <v>1550.37</v>
      </c>
      <c r="F433" s="46">
        <v>1298.5999999999999</v>
      </c>
      <c r="G433" s="46">
        <v>715.21</v>
      </c>
    </row>
    <row r="434" spans="1:15" x14ac:dyDescent="0.25">
      <c r="A434" s="2" t="s">
        <v>242</v>
      </c>
      <c r="C434" s="46">
        <v>-32.200000000000003</v>
      </c>
      <c r="D434" s="46">
        <v>-156.34</v>
      </c>
      <c r="E434" s="46">
        <v>-387.59</v>
      </c>
      <c r="F434" s="46">
        <v>-324.64999999999998</v>
      </c>
      <c r="G434" s="46">
        <v>-178.8</v>
      </c>
    </row>
    <row r="435" spans="1:15" x14ac:dyDescent="0.25">
      <c r="A435" s="2" t="s">
        <v>243</v>
      </c>
      <c r="C435" s="46">
        <v>96.6</v>
      </c>
      <c r="D435" s="46">
        <v>469.03</v>
      </c>
      <c r="E435" s="46">
        <v>1162.78</v>
      </c>
      <c r="F435" s="46">
        <v>973.95</v>
      </c>
      <c r="G435" s="46">
        <v>536.41</v>
      </c>
      <c r="I435" s="2" t="s">
        <v>244</v>
      </c>
    </row>
    <row r="436" spans="1:15" x14ac:dyDescent="0.25">
      <c r="A436" s="2" t="s">
        <v>245</v>
      </c>
      <c r="B436" s="2">
        <v>1250</v>
      </c>
      <c r="D436" s="46" t="s">
        <v>126</v>
      </c>
      <c r="E436" s="46" t="s">
        <v>246</v>
      </c>
      <c r="F436" s="46" t="s">
        <v>247</v>
      </c>
    </row>
    <row r="437" spans="1:15" x14ac:dyDescent="0.25">
      <c r="A437" s="2" t="s">
        <v>248</v>
      </c>
      <c r="B437" s="2">
        <v>-200</v>
      </c>
      <c r="G437" s="46">
        <v>200</v>
      </c>
      <c r="I437" s="2" t="s">
        <v>249</v>
      </c>
      <c r="J437" s="2">
        <v>0.1</v>
      </c>
      <c r="L437" s="2">
        <v>1</v>
      </c>
      <c r="M437" s="2">
        <v>75</v>
      </c>
      <c r="N437" s="2">
        <v>18.75</v>
      </c>
    </row>
    <row r="438" spans="1:15" x14ac:dyDescent="0.25">
      <c r="A438" s="2" t="s">
        <v>250</v>
      </c>
      <c r="J438" s="2" t="s">
        <v>69</v>
      </c>
      <c r="L438" s="2">
        <v>2</v>
      </c>
      <c r="M438" s="2">
        <v>75</v>
      </c>
      <c r="N438" s="2">
        <v>18.75</v>
      </c>
    </row>
    <row r="439" spans="1:15" x14ac:dyDescent="0.25">
      <c r="A439" s="2" t="s">
        <v>251</v>
      </c>
      <c r="B439" s="2">
        <v>-2500</v>
      </c>
      <c r="G439" s="46">
        <v>1500</v>
      </c>
      <c r="I439" s="2" t="s">
        <v>252</v>
      </c>
      <c r="J439" s="2">
        <v>500</v>
      </c>
      <c r="L439" s="2">
        <v>3</v>
      </c>
      <c r="M439" s="2">
        <v>75</v>
      </c>
      <c r="N439" s="2">
        <v>18.75</v>
      </c>
    </row>
    <row r="440" spans="1:15" x14ac:dyDescent="0.25">
      <c r="A440" s="2" t="s">
        <v>252</v>
      </c>
      <c r="L440" s="2">
        <v>4</v>
      </c>
      <c r="M440" s="2">
        <v>75</v>
      </c>
      <c r="N440" s="2">
        <v>18.75</v>
      </c>
    </row>
    <row r="441" spans="1:15" x14ac:dyDescent="0.25">
      <c r="A441" s="2" t="s">
        <v>253</v>
      </c>
      <c r="B441" s="2">
        <v>-2700</v>
      </c>
      <c r="C441" s="46">
        <v>96.6</v>
      </c>
      <c r="D441" s="46">
        <v>469.03</v>
      </c>
      <c r="E441" s="46">
        <v>1162.78</v>
      </c>
      <c r="F441" s="46">
        <v>973.95</v>
      </c>
      <c r="G441" s="46">
        <v>2236.41</v>
      </c>
      <c r="L441" s="2">
        <v>5</v>
      </c>
      <c r="M441" s="2">
        <v>450</v>
      </c>
      <c r="N441" s="2">
        <v>112.5</v>
      </c>
    </row>
    <row r="442" spans="1:15" x14ac:dyDescent="0.25">
      <c r="A442" s="2" t="s">
        <v>72</v>
      </c>
      <c r="B442" s="2">
        <v>72</v>
      </c>
      <c r="C442" s="46">
        <v>76.239999999999995</v>
      </c>
      <c r="D442" s="46">
        <v>80.72</v>
      </c>
      <c r="E442" s="46">
        <v>85.47</v>
      </c>
      <c r="F442" s="46">
        <v>90.5</v>
      </c>
      <c r="G442" s="46">
        <v>95.82</v>
      </c>
    </row>
    <row r="443" spans="1:15" x14ac:dyDescent="0.25">
      <c r="A443" s="2" t="s">
        <v>254</v>
      </c>
      <c r="B443" s="2">
        <v>-37.5</v>
      </c>
      <c r="C443" s="46">
        <v>1.27</v>
      </c>
      <c r="D443" s="46">
        <v>5.81</v>
      </c>
      <c r="E443" s="46">
        <v>13.6</v>
      </c>
      <c r="F443" s="46">
        <v>10.76</v>
      </c>
      <c r="G443" s="46">
        <v>23.34</v>
      </c>
    </row>
    <row r="444" spans="1:15" x14ac:dyDescent="0.25">
      <c r="A444" s="2" t="s">
        <v>255</v>
      </c>
      <c r="B444" s="2">
        <v>0</v>
      </c>
      <c r="C444" s="46">
        <v>0</v>
      </c>
      <c r="D444" s="46">
        <v>0</v>
      </c>
      <c r="E444" s="46">
        <v>0</v>
      </c>
      <c r="F444" s="46">
        <v>0</v>
      </c>
      <c r="G444" s="46">
        <v>0</v>
      </c>
      <c r="J444" s="2">
        <v>0</v>
      </c>
      <c r="K444" s="2">
        <v>1</v>
      </c>
      <c r="L444" s="2">
        <v>2</v>
      </c>
      <c r="M444" s="2">
        <v>3</v>
      </c>
      <c r="N444" s="2">
        <v>4</v>
      </c>
      <c r="O444" s="2">
        <v>5</v>
      </c>
    </row>
    <row r="445" spans="1:15" x14ac:dyDescent="0.25">
      <c r="A445" s="2" t="s">
        <v>256</v>
      </c>
      <c r="B445" s="2">
        <v>0</v>
      </c>
      <c r="C445" s="46">
        <v>0</v>
      </c>
      <c r="D445" s="46">
        <v>0</v>
      </c>
      <c r="E445" s="46">
        <v>0</v>
      </c>
      <c r="F445" s="46">
        <v>0</v>
      </c>
      <c r="G445" s="46">
        <v>0</v>
      </c>
      <c r="I445" s="2" t="s">
        <v>257</v>
      </c>
      <c r="K445" s="2">
        <v>10000</v>
      </c>
      <c r="L445" s="2">
        <v>15000</v>
      </c>
      <c r="M445" s="2">
        <v>30000</v>
      </c>
      <c r="N445" s="2">
        <v>26000</v>
      </c>
      <c r="O445" s="2">
        <v>15000</v>
      </c>
    </row>
    <row r="446" spans="1:15" x14ac:dyDescent="0.25">
      <c r="A446" s="2" t="s">
        <v>254</v>
      </c>
      <c r="B446" s="2">
        <v>-37.5</v>
      </c>
      <c r="C446" s="46">
        <v>1.27</v>
      </c>
      <c r="D446" s="46">
        <v>5.81</v>
      </c>
      <c r="E446" s="46">
        <v>13.6</v>
      </c>
      <c r="F446" s="46">
        <v>10.76</v>
      </c>
      <c r="G446" s="46">
        <v>23.34</v>
      </c>
    </row>
    <row r="447" spans="1:15" x14ac:dyDescent="0.25">
      <c r="A447" s="2" t="s">
        <v>258</v>
      </c>
      <c r="B447" s="2">
        <v>-37.5</v>
      </c>
      <c r="C447" s="46">
        <v>1.1299999999999999</v>
      </c>
      <c r="D447" s="46">
        <v>4.63</v>
      </c>
      <c r="E447" s="46">
        <v>9.68</v>
      </c>
      <c r="F447" s="46">
        <v>6.84</v>
      </c>
      <c r="G447" s="46">
        <v>13.24</v>
      </c>
      <c r="I447" s="2" t="s">
        <v>259</v>
      </c>
      <c r="J447" s="2">
        <v>115200</v>
      </c>
      <c r="K447" s="2">
        <v>120960</v>
      </c>
      <c r="L447" s="2">
        <v>127008</v>
      </c>
      <c r="M447" s="2">
        <v>133358.39999999999</v>
      </c>
      <c r="N447" s="2">
        <v>140026.32</v>
      </c>
      <c r="O447" s="2">
        <v>147027.64000000001</v>
      </c>
    </row>
    <row r="448" spans="1:15" x14ac:dyDescent="0.25">
      <c r="A448" s="2" t="s">
        <v>260</v>
      </c>
      <c r="C448" s="46">
        <v>1209.5999999999999</v>
      </c>
      <c r="D448" s="46">
        <v>1905.12</v>
      </c>
      <c r="E448" s="46">
        <v>4000.75</v>
      </c>
      <c r="F448" s="46">
        <v>3640.68</v>
      </c>
      <c r="G448" s="46">
        <v>2205.41</v>
      </c>
    </row>
    <row r="449" spans="1:15" x14ac:dyDescent="0.25">
      <c r="A449" s="2" t="s">
        <v>75</v>
      </c>
      <c r="B449" s="2">
        <v>-1.97</v>
      </c>
    </row>
    <row r="450" spans="1:15" x14ac:dyDescent="0.25">
      <c r="A450" s="2" t="s">
        <v>261</v>
      </c>
      <c r="I450" s="2" t="s">
        <v>262</v>
      </c>
      <c r="J450" s="2">
        <v>46500</v>
      </c>
      <c r="K450" s="2">
        <v>51150</v>
      </c>
      <c r="L450" s="2">
        <v>56265</v>
      </c>
      <c r="M450" s="2">
        <v>61891.5</v>
      </c>
      <c r="N450" s="2">
        <v>68080.649999999994</v>
      </c>
      <c r="O450" s="2">
        <v>74888.72</v>
      </c>
    </row>
    <row r="451" spans="1:15" x14ac:dyDescent="0.25">
      <c r="A451" s="2" t="s">
        <v>263</v>
      </c>
      <c r="C451" s="46">
        <v>511.5</v>
      </c>
      <c r="D451" s="46">
        <v>843.98</v>
      </c>
      <c r="E451" s="46">
        <v>1856.75</v>
      </c>
      <c r="F451" s="46">
        <v>1770.1</v>
      </c>
      <c r="G451" s="46">
        <v>1123.33</v>
      </c>
    </row>
    <row r="452" spans="1:15" x14ac:dyDescent="0.25">
      <c r="A452" s="2" t="s">
        <v>264</v>
      </c>
      <c r="B452" s="2">
        <v>200</v>
      </c>
      <c r="C452" s="46">
        <v>210</v>
      </c>
      <c r="D452" s="46">
        <v>220.5</v>
      </c>
      <c r="E452" s="46">
        <v>231.53</v>
      </c>
      <c r="F452" s="46">
        <v>243.1</v>
      </c>
      <c r="G452" s="46">
        <v>255.26</v>
      </c>
    </row>
    <row r="453" spans="1:15" x14ac:dyDescent="0.25">
      <c r="A453" s="2" t="s">
        <v>104</v>
      </c>
      <c r="I453" s="2" t="s">
        <v>265</v>
      </c>
      <c r="J453" s="2">
        <v>14400</v>
      </c>
      <c r="K453" s="2">
        <v>160.09</v>
      </c>
      <c r="L453" s="2">
        <v>266.98</v>
      </c>
      <c r="M453" s="2">
        <v>593.64</v>
      </c>
      <c r="N453" s="2">
        <v>571.99</v>
      </c>
      <c r="O453" s="2">
        <v>366.88</v>
      </c>
    </row>
    <row r="454" spans="1:15" x14ac:dyDescent="0.25">
      <c r="A454" s="2" t="s">
        <v>266</v>
      </c>
      <c r="B454" s="2" t="s">
        <v>5</v>
      </c>
      <c r="C454" s="46">
        <v>28</v>
      </c>
      <c r="D454" s="46" t="s">
        <v>267</v>
      </c>
    </row>
    <row r="455" spans="1:15" x14ac:dyDescent="0.25">
      <c r="A455" s="2" t="s">
        <v>109</v>
      </c>
      <c r="B455" s="2" t="s">
        <v>3</v>
      </c>
      <c r="C455" s="46">
        <v>29.77</v>
      </c>
      <c r="D455" s="46" t="s">
        <v>267</v>
      </c>
    </row>
    <row r="456" spans="1:15" x14ac:dyDescent="0.25">
      <c r="A456" s="2" t="s">
        <v>6</v>
      </c>
      <c r="B456" s="2" t="s">
        <v>7</v>
      </c>
      <c r="C456" s="46">
        <v>0.04</v>
      </c>
    </row>
    <row r="457" spans="1:15" x14ac:dyDescent="0.25">
      <c r="A457" s="2" t="s">
        <v>268</v>
      </c>
      <c r="B457" s="2" t="s">
        <v>13</v>
      </c>
      <c r="C457" s="46">
        <v>0.35</v>
      </c>
    </row>
    <row r="458" spans="1:15" x14ac:dyDescent="0.25">
      <c r="A458" s="2" t="s">
        <v>43</v>
      </c>
      <c r="B458" s="2" t="s">
        <v>9</v>
      </c>
      <c r="C458" s="46">
        <v>2</v>
      </c>
      <c r="D458" s="46" t="s">
        <v>114</v>
      </c>
    </row>
    <row r="459" spans="1:15" x14ac:dyDescent="0.25">
      <c r="A459" s="2" t="s">
        <v>269</v>
      </c>
      <c r="B459" s="2">
        <v>0.92</v>
      </c>
    </row>
    <row r="460" spans="1:15" x14ac:dyDescent="0.25">
      <c r="A460" s="2" t="s">
        <v>49</v>
      </c>
      <c r="B460" s="2" t="s">
        <v>29</v>
      </c>
      <c r="C460" s="46">
        <v>0.53</v>
      </c>
    </row>
    <row r="461" spans="1:15" x14ac:dyDescent="0.25">
      <c r="A461" s="2" t="s">
        <v>50</v>
      </c>
      <c r="B461" s="2" t="s">
        <v>29</v>
      </c>
      <c r="C461" s="46">
        <v>0.04</v>
      </c>
    </row>
    <row r="462" spans="1:15" x14ac:dyDescent="0.25">
      <c r="A462" s="2" t="s">
        <v>28</v>
      </c>
      <c r="B462" s="2" t="s">
        <v>29</v>
      </c>
      <c r="C462" s="46">
        <v>0.7</v>
      </c>
    </row>
    <row r="463" spans="1:15" x14ac:dyDescent="0.25">
      <c r="A463" s="2" t="s">
        <v>33</v>
      </c>
      <c r="B463" s="2" t="s">
        <v>29</v>
      </c>
      <c r="C463" s="46">
        <v>0.51600000000000001</v>
      </c>
    </row>
    <row r="464" spans="1:15" x14ac:dyDescent="0.25">
      <c r="A464" s="2" t="s">
        <v>55</v>
      </c>
      <c r="B464" s="2" t="s">
        <v>29</v>
      </c>
      <c r="C464" s="46">
        <v>34.229999999999997</v>
      </c>
    </row>
    <row r="465" spans="1:14" x14ac:dyDescent="0.25">
      <c r="A465" s="2" t="s">
        <v>270</v>
      </c>
      <c r="B465" s="2" t="s">
        <v>29</v>
      </c>
      <c r="C465" s="46">
        <v>30.31</v>
      </c>
    </row>
    <row r="466" spans="1:14" x14ac:dyDescent="0.25">
      <c r="A466" s="2" t="s">
        <v>271</v>
      </c>
      <c r="D466" s="46">
        <v>-1.97</v>
      </c>
    </row>
    <row r="467" spans="1:14" x14ac:dyDescent="0.25">
      <c r="A467" s="2" t="s">
        <v>272</v>
      </c>
      <c r="D467" s="46">
        <v>30.31</v>
      </c>
    </row>
    <row r="468" spans="1:14" x14ac:dyDescent="0.25">
      <c r="A468" s="2" t="s">
        <v>273</v>
      </c>
      <c r="D468" s="46">
        <v>28.34</v>
      </c>
    </row>
    <row r="472" spans="1:14" x14ac:dyDescent="0.25">
      <c r="A472" s="2" t="s">
        <v>219</v>
      </c>
      <c r="C472" s="46" t="s">
        <v>43</v>
      </c>
    </row>
    <row r="473" spans="1:14" x14ac:dyDescent="0.25">
      <c r="A473" s="2" t="s">
        <v>274</v>
      </c>
      <c r="C473" s="46" t="s">
        <v>219</v>
      </c>
      <c r="D473" s="46">
        <v>40</v>
      </c>
      <c r="E473" s="46">
        <v>1</v>
      </c>
      <c r="F473" s="46">
        <v>13</v>
      </c>
      <c r="G473" s="46">
        <v>1.5</v>
      </c>
      <c r="H473" s="46">
        <v>19.5</v>
      </c>
      <c r="J473" s="2" t="s">
        <v>275</v>
      </c>
    </row>
    <row r="474" spans="1:14" x14ac:dyDescent="0.25">
      <c r="A474" s="2" t="s">
        <v>110</v>
      </c>
      <c r="B474" s="2">
        <v>60</v>
      </c>
      <c r="C474" s="46">
        <v>2</v>
      </c>
      <c r="D474" s="46">
        <v>10</v>
      </c>
      <c r="E474" s="46">
        <v>1.5</v>
      </c>
      <c r="F474" s="46">
        <v>15</v>
      </c>
    </row>
    <row r="475" spans="1:14" x14ac:dyDescent="0.25">
      <c r="A475" s="2" t="s">
        <v>276</v>
      </c>
      <c r="B475" s="2" t="s">
        <v>277</v>
      </c>
      <c r="E475" s="46">
        <v>3</v>
      </c>
      <c r="F475" s="46">
        <v>8</v>
      </c>
      <c r="G475" s="46">
        <v>1.5</v>
      </c>
      <c r="H475" s="46">
        <v>12</v>
      </c>
    </row>
    <row r="476" spans="1:14" x14ac:dyDescent="0.25">
      <c r="A476" s="2" t="s">
        <v>278</v>
      </c>
      <c r="B476" s="2" t="s">
        <v>279</v>
      </c>
      <c r="C476" s="46">
        <v>67</v>
      </c>
      <c r="E476" s="46">
        <v>4</v>
      </c>
      <c r="F476" s="46">
        <v>5</v>
      </c>
      <c r="G476" s="46">
        <v>1.5</v>
      </c>
      <c r="H476" s="46">
        <v>7.5</v>
      </c>
    </row>
    <row r="477" spans="1:14" x14ac:dyDescent="0.25">
      <c r="A477" s="2" t="s">
        <v>280</v>
      </c>
      <c r="C477" s="46">
        <v>23</v>
      </c>
      <c r="D477" s="46" t="s">
        <v>281</v>
      </c>
      <c r="H477" s="46">
        <v>54</v>
      </c>
    </row>
    <row r="478" spans="1:14" x14ac:dyDescent="0.25">
      <c r="A478" s="2" t="s">
        <v>274</v>
      </c>
      <c r="B478" s="2" t="s">
        <v>282</v>
      </c>
      <c r="C478" s="46" t="s">
        <v>283</v>
      </c>
    </row>
    <row r="479" spans="1:14" x14ac:dyDescent="0.25">
      <c r="A479" s="2" t="s">
        <v>284</v>
      </c>
      <c r="B479" s="2">
        <v>5</v>
      </c>
      <c r="I479" s="2" t="s">
        <v>232</v>
      </c>
    </row>
    <row r="480" spans="1:14" x14ac:dyDescent="0.25">
      <c r="A480" s="2">
        <v>0</v>
      </c>
      <c r="B480" s="2">
        <v>1</v>
      </c>
      <c r="C480" s="46">
        <v>2</v>
      </c>
      <c r="D480" s="46">
        <v>3</v>
      </c>
      <c r="E480" s="46">
        <v>4</v>
      </c>
      <c r="F480" s="46">
        <v>5</v>
      </c>
      <c r="I480" s="2">
        <v>0</v>
      </c>
      <c r="J480" s="2">
        <v>1</v>
      </c>
      <c r="K480" s="2">
        <v>2</v>
      </c>
      <c r="L480" s="2">
        <v>3</v>
      </c>
      <c r="M480" s="2">
        <v>4</v>
      </c>
      <c r="N480" s="2">
        <v>5</v>
      </c>
    </row>
    <row r="481" spans="1:15" x14ac:dyDescent="0.25">
      <c r="A481" s="2" t="s">
        <v>234</v>
      </c>
      <c r="C481" s="46">
        <v>7.5</v>
      </c>
      <c r="D481" s="46">
        <v>21.6</v>
      </c>
      <c r="E481" s="46">
        <v>58.32</v>
      </c>
      <c r="F481" s="46">
        <v>75.58</v>
      </c>
      <c r="G481" s="46">
        <v>129.25</v>
      </c>
      <c r="I481" s="2" t="s">
        <v>147</v>
      </c>
      <c r="K481" s="2">
        <v>7500</v>
      </c>
      <c r="L481" s="2">
        <v>20000</v>
      </c>
      <c r="M481" s="2">
        <v>50000</v>
      </c>
      <c r="N481" s="2">
        <v>60000</v>
      </c>
      <c r="O481" s="2">
        <v>95000</v>
      </c>
    </row>
    <row r="482" spans="1:15" x14ac:dyDescent="0.25">
      <c r="A482" s="2" t="s">
        <v>285</v>
      </c>
      <c r="C482" s="46">
        <v>-3</v>
      </c>
      <c r="D482" s="46">
        <v>-8.4</v>
      </c>
      <c r="E482" s="46">
        <v>-22.05</v>
      </c>
      <c r="F482" s="46">
        <v>-27.78</v>
      </c>
      <c r="G482" s="46">
        <v>-46.19</v>
      </c>
    </row>
    <row r="483" spans="1:15" x14ac:dyDescent="0.25">
      <c r="A483" s="2" t="s">
        <v>239</v>
      </c>
      <c r="C483" s="46">
        <v>-3.6</v>
      </c>
      <c r="D483" s="46">
        <v>-3.36</v>
      </c>
      <c r="E483" s="46">
        <v>-2.21</v>
      </c>
      <c r="F483" s="46">
        <v>-2.78</v>
      </c>
      <c r="G483" s="46">
        <v>-4.62</v>
      </c>
      <c r="I483" s="2" t="s">
        <v>286</v>
      </c>
      <c r="K483" s="2">
        <v>1000</v>
      </c>
      <c r="L483" s="2">
        <v>1080</v>
      </c>
      <c r="M483" s="2">
        <v>1166.4000000000001</v>
      </c>
      <c r="N483" s="2">
        <v>1259.71</v>
      </c>
      <c r="O483" s="2">
        <v>1360.49</v>
      </c>
    </row>
    <row r="484" spans="1:15" x14ac:dyDescent="0.25">
      <c r="A484" s="2" t="s">
        <v>241</v>
      </c>
      <c r="C484" s="46">
        <v>0.9</v>
      </c>
      <c r="D484" s="46">
        <v>9.84</v>
      </c>
      <c r="E484" s="46">
        <v>34.07</v>
      </c>
      <c r="F484" s="46">
        <v>45.02</v>
      </c>
      <c r="G484" s="46">
        <v>78.44</v>
      </c>
      <c r="I484" s="2" t="s">
        <v>260</v>
      </c>
      <c r="K484" s="2">
        <v>7.5</v>
      </c>
      <c r="L484" s="2">
        <v>21.6</v>
      </c>
      <c r="M484" s="2">
        <v>58.32</v>
      </c>
      <c r="N484" s="2">
        <v>75.58</v>
      </c>
      <c r="O484" s="2">
        <v>129.25</v>
      </c>
    </row>
    <row r="485" spans="1:15" x14ac:dyDescent="0.25">
      <c r="A485" s="2" t="s">
        <v>130</v>
      </c>
      <c r="C485" s="46">
        <v>-0.18</v>
      </c>
      <c r="D485" s="46">
        <v>-1.97</v>
      </c>
      <c r="E485" s="46">
        <v>-6.81</v>
      </c>
      <c r="F485" s="46">
        <v>-9</v>
      </c>
      <c r="G485" s="46">
        <v>-15.69</v>
      </c>
    </row>
    <row r="486" spans="1:15" x14ac:dyDescent="0.25">
      <c r="A486" s="2" t="s">
        <v>243</v>
      </c>
      <c r="C486" s="46">
        <v>0.72</v>
      </c>
      <c r="D486" s="46">
        <v>7.87</v>
      </c>
      <c r="E486" s="46">
        <v>27.25</v>
      </c>
      <c r="F486" s="46">
        <v>36.020000000000003</v>
      </c>
      <c r="G486" s="46">
        <v>62.75</v>
      </c>
      <c r="I486" s="2" t="s">
        <v>285</v>
      </c>
      <c r="K486" s="2">
        <v>400</v>
      </c>
      <c r="L486" s="2">
        <v>420</v>
      </c>
      <c r="M486" s="2">
        <v>441</v>
      </c>
      <c r="N486" s="2">
        <v>463.05</v>
      </c>
      <c r="O486" s="2">
        <v>486.2</v>
      </c>
    </row>
    <row r="487" spans="1:15" x14ac:dyDescent="0.25">
      <c r="A487" s="2" t="s">
        <v>251</v>
      </c>
      <c r="B487" s="2">
        <v>-120</v>
      </c>
      <c r="K487" s="2">
        <v>3</v>
      </c>
      <c r="L487" s="2">
        <v>8.4</v>
      </c>
      <c r="M487" s="2">
        <v>22.05</v>
      </c>
      <c r="N487" s="2">
        <v>27.78</v>
      </c>
      <c r="O487" s="2">
        <v>46.19</v>
      </c>
    </row>
    <row r="488" spans="1:15" x14ac:dyDescent="0.25">
      <c r="A488" s="2" t="s">
        <v>141</v>
      </c>
      <c r="G488" s="46">
        <v>40</v>
      </c>
    </row>
    <row r="489" spans="1:15" x14ac:dyDescent="0.25">
      <c r="A489" s="2" t="s">
        <v>287</v>
      </c>
      <c r="B489" s="2">
        <v>-1.5</v>
      </c>
      <c r="C489" s="46">
        <v>-0.09</v>
      </c>
      <c r="D489" s="46">
        <v>2.2599999999999998</v>
      </c>
      <c r="E489" s="46">
        <v>-1.95</v>
      </c>
      <c r="F489" s="46">
        <v>3.64</v>
      </c>
      <c r="G489" s="46">
        <v>2.37</v>
      </c>
      <c r="I489" s="2" t="s">
        <v>288</v>
      </c>
    </row>
    <row r="490" spans="1:15" x14ac:dyDescent="0.25">
      <c r="A490" s="2" t="s">
        <v>289</v>
      </c>
      <c r="C490" s="46">
        <v>2.4</v>
      </c>
      <c r="D490" s="46">
        <v>2.4</v>
      </c>
      <c r="E490" s="46">
        <v>2.4</v>
      </c>
      <c r="F490" s="46">
        <v>2.4</v>
      </c>
      <c r="G490" s="46">
        <v>6.4</v>
      </c>
      <c r="J490" s="2">
        <v>1.5</v>
      </c>
      <c r="K490" s="2">
        <v>1.41</v>
      </c>
      <c r="L490" s="2">
        <v>3.67</v>
      </c>
      <c r="M490" s="2">
        <v>1.73</v>
      </c>
      <c r="N490" s="2">
        <v>5.37</v>
      </c>
    </row>
    <row r="491" spans="1:15" x14ac:dyDescent="0.25">
      <c r="A491" s="2" t="s">
        <v>290</v>
      </c>
      <c r="B491" s="2">
        <v>-121.5</v>
      </c>
      <c r="C491" s="46">
        <v>3.03</v>
      </c>
      <c r="D491" s="46">
        <v>12.53</v>
      </c>
      <c r="E491" s="46">
        <v>27.71</v>
      </c>
      <c r="F491" s="46">
        <v>42.06</v>
      </c>
      <c r="G491" s="46">
        <v>111.52</v>
      </c>
      <c r="J491" s="2">
        <v>-1.5</v>
      </c>
      <c r="K491" s="2">
        <v>-0.09</v>
      </c>
      <c r="L491" s="2">
        <v>2.2599999999999998</v>
      </c>
      <c r="M491" s="2">
        <v>-1.95</v>
      </c>
      <c r="N491" s="2">
        <v>3.64</v>
      </c>
      <c r="O491" s="2">
        <v>2.37</v>
      </c>
    </row>
    <row r="492" spans="1:15" x14ac:dyDescent="0.25">
      <c r="A492" s="2" t="s">
        <v>144</v>
      </c>
      <c r="B492" s="2">
        <v>-121.5</v>
      </c>
      <c r="C492" s="46">
        <v>2.71</v>
      </c>
      <c r="D492" s="46">
        <v>9.99</v>
      </c>
      <c r="E492" s="46">
        <v>19.72</v>
      </c>
      <c r="F492" s="46">
        <v>26.73</v>
      </c>
      <c r="G492" s="46">
        <v>63.28</v>
      </c>
    </row>
    <row r="493" spans="1:15" x14ac:dyDescent="0.25">
      <c r="A493" s="2" t="s">
        <v>247</v>
      </c>
    </row>
    <row r="494" spans="1:15" x14ac:dyDescent="0.25">
      <c r="A494" s="2" t="s">
        <v>75</v>
      </c>
      <c r="B494" s="2">
        <v>0.92</v>
      </c>
      <c r="I494" s="2" t="s">
        <v>291</v>
      </c>
      <c r="J494" s="2">
        <v>120</v>
      </c>
      <c r="L494" s="2" t="s">
        <v>61</v>
      </c>
      <c r="M494" s="2" t="s">
        <v>292</v>
      </c>
      <c r="N494" s="2" t="s">
        <v>293</v>
      </c>
    </row>
    <row r="495" spans="1:15" x14ac:dyDescent="0.25">
      <c r="A495" s="2" t="s">
        <v>131</v>
      </c>
      <c r="B495" s="2">
        <v>40</v>
      </c>
      <c r="D495" s="46">
        <v>1</v>
      </c>
      <c r="E495" s="46">
        <v>12</v>
      </c>
      <c r="F495" s="46">
        <v>2.4</v>
      </c>
    </row>
    <row r="496" spans="1:15" x14ac:dyDescent="0.25">
      <c r="A496" s="2" t="s">
        <v>62</v>
      </c>
      <c r="B496" s="2">
        <v>0.1</v>
      </c>
      <c r="D496" s="46">
        <v>2</v>
      </c>
      <c r="E496" s="46">
        <v>12</v>
      </c>
      <c r="F496" s="46">
        <v>2.4</v>
      </c>
    </row>
    <row r="497" spans="1:14" x14ac:dyDescent="0.25">
      <c r="A497" s="2" t="s">
        <v>130</v>
      </c>
      <c r="B497" s="2">
        <v>0.2</v>
      </c>
      <c r="D497" s="46">
        <v>3</v>
      </c>
      <c r="E497" s="46">
        <v>12</v>
      </c>
      <c r="F497" s="46">
        <v>2.4</v>
      </c>
    </row>
    <row r="498" spans="1:14" x14ac:dyDescent="0.25">
      <c r="A498" s="2">
        <v>4</v>
      </c>
      <c r="B498" s="2">
        <v>12</v>
      </c>
      <c r="C498" s="46">
        <v>2.4</v>
      </c>
    </row>
    <row r="499" spans="1:14" x14ac:dyDescent="0.25">
      <c r="A499" s="1" t="s">
        <v>104</v>
      </c>
      <c r="L499" s="2">
        <v>5</v>
      </c>
      <c r="M499" s="2">
        <v>32</v>
      </c>
      <c r="N499" s="2">
        <v>6.4</v>
      </c>
    </row>
    <row r="500" spans="1:14" x14ac:dyDescent="0.25">
      <c r="A500" s="2" t="s">
        <v>268</v>
      </c>
      <c r="B500" s="2" t="s">
        <v>13</v>
      </c>
      <c r="C500" s="46">
        <v>0.3</v>
      </c>
    </row>
    <row r="501" spans="1:14" x14ac:dyDescent="0.25">
      <c r="A501" s="2" t="s">
        <v>43</v>
      </c>
      <c r="B501" s="2" t="s">
        <v>9</v>
      </c>
      <c r="C501" s="46">
        <v>2</v>
      </c>
      <c r="D501" s="46" t="s">
        <v>114</v>
      </c>
      <c r="I501" s="2" t="s">
        <v>188</v>
      </c>
    </row>
    <row r="502" spans="1:14" x14ac:dyDescent="0.25">
      <c r="A502" s="2" t="s">
        <v>294</v>
      </c>
      <c r="B502" s="2" t="s">
        <v>5</v>
      </c>
      <c r="C502" s="46">
        <v>113</v>
      </c>
      <c r="I502" s="2" t="s">
        <v>295</v>
      </c>
    </row>
    <row r="503" spans="1:14" x14ac:dyDescent="0.25">
      <c r="A503" s="2" t="s">
        <v>109</v>
      </c>
      <c r="B503" s="2" t="s">
        <v>3</v>
      </c>
      <c r="C503" s="46">
        <v>109.73</v>
      </c>
      <c r="I503" s="2" t="s">
        <v>296</v>
      </c>
      <c r="K503" s="2">
        <v>375</v>
      </c>
    </row>
    <row r="504" spans="1:14" x14ac:dyDescent="0.25">
      <c r="A504" s="2" t="s">
        <v>297</v>
      </c>
      <c r="B504" s="2" t="s">
        <v>7</v>
      </c>
      <c r="C504" s="46">
        <v>0.03</v>
      </c>
      <c r="I504" s="2" t="s">
        <v>298</v>
      </c>
      <c r="K504" s="2">
        <v>93.84</v>
      </c>
    </row>
    <row r="505" spans="1:14" x14ac:dyDescent="0.25">
      <c r="A505" s="2">
        <v>468.84</v>
      </c>
    </row>
    <row r="506" spans="1:14" x14ac:dyDescent="0.25">
      <c r="A506" s="2" t="s">
        <v>269</v>
      </c>
      <c r="B506" s="2">
        <v>0.95</v>
      </c>
    </row>
    <row r="507" spans="1:14" x14ac:dyDescent="0.25">
      <c r="A507" s="2" t="s">
        <v>162</v>
      </c>
      <c r="B507" s="2">
        <v>1.5</v>
      </c>
    </row>
    <row r="508" spans="1:14" x14ac:dyDescent="0.25">
      <c r="A508" s="2" t="s">
        <v>49</v>
      </c>
      <c r="B508" s="2">
        <v>0.28000000000000003</v>
      </c>
      <c r="I508" s="2" t="s">
        <v>299</v>
      </c>
    </row>
    <row r="509" spans="1:14" x14ac:dyDescent="0.25">
      <c r="A509" s="2" t="s">
        <v>50</v>
      </c>
      <c r="B509" s="2">
        <v>-0.14000000000000001</v>
      </c>
      <c r="I509" s="2" t="s">
        <v>300</v>
      </c>
      <c r="K509" s="2">
        <v>364</v>
      </c>
    </row>
    <row r="510" spans="1:14" x14ac:dyDescent="0.25">
      <c r="A510" s="2" t="s">
        <v>301</v>
      </c>
      <c r="C510" s="46">
        <v>156</v>
      </c>
    </row>
    <row r="511" spans="1:14" x14ac:dyDescent="0.25">
      <c r="A511" s="2" t="s">
        <v>28</v>
      </c>
      <c r="B511" s="2">
        <v>0.61</v>
      </c>
      <c r="K511" s="2">
        <v>520</v>
      </c>
    </row>
    <row r="512" spans="1:14" x14ac:dyDescent="0.25">
      <c r="A512" s="2" t="s">
        <v>33</v>
      </c>
      <c r="B512" s="2">
        <v>0.44</v>
      </c>
    </row>
    <row r="513" spans="1:11" x14ac:dyDescent="0.25">
      <c r="A513" s="2" t="s">
        <v>157</v>
      </c>
      <c r="B513" s="2">
        <v>2.0099999999999998</v>
      </c>
    </row>
    <row r="514" spans="1:11" x14ac:dyDescent="0.25">
      <c r="A514" s="2" t="s">
        <v>36</v>
      </c>
      <c r="B514" s="2" t="s">
        <v>29</v>
      </c>
      <c r="C514" s="46">
        <v>19.05</v>
      </c>
      <c r="I514" s="2" t="s">
        <v>165</v>
      </c>
      <c r="J514" s="2" t="s">
        <v>29</v>
      </c>
      <c r="K514" s="88">
        <v>0.15079999999999999</v>
      </c>
    </row>
    <row r="515" spans="1:11" x14ac:dyDescent="0.25">
      <c r="A515" s="2" t="s">
        <v>302</v>
      </c>
      <c r="B515" s="2" t="s">
        <v>29</v>
      </c>
      <c r="C515" s="46">
        <v>0.06</v>
      </c>
    </row>
    <row r="516" spans="1:11" x14ac:dyDescent="0.25">
      <c r="A516" s="2" t="s">
        <v>39</v>
      </c>
      <c r="B516" s="2" t="s">
        <v>29</v>
      </c>
      <c r="C516" s="46">
        <v>17.170000000000002</v>
      </c>
      <c r="I516" s="2" t="s">
        <v>188</v>
      </c>
      <c r="J516" s="2" t="s">
        <v>29</v>
      </c>
      <c r="K516" s="88">
        <v>0.12</v>
      </c>
    </row>
    <row r="517" spans="1:11" x14ac:dyDescent="0.25">
      <c r="A517" s="2" t="s">
        <v>303</v>
      </c>
    </row>
    <row r="518" spans="1:11" x14ac:dyDescent="0.25">
      <c r="A518" s="2" t="s">
        <v>273</v>
      </c>
    </row>
    <row r="519" spans="1:11" x14ac:dyDescent="0.25">
      <c r="A519" s="2" t="s">
        <v>75</v>
      </c>
      <c r="B519" s="2">
        <v>0.92</v>
      </c>
    </row>
    <row r="520" spans="1:11" x14ac:dyDescent="0.25">
      <c r="A520" s="2" t="s">
        <v>304</v>
      </c>
      <c r="B520" s="2">
        <v>17.170000000000002</v>
      </c>
    </row>
    <row r="521" spans="1:11" x14ac:dyDescent="0.25">
      <c r="A521" s="2">
        <v>18.09</v>
      </c>
    </row>
  </sheetData>
  <mergeCells count="2">
    <mergeCell ref="B411:C411"/>
    <mergeCell ref="B412:C412"/>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dc:creator>
  <cp:lastModifiedBy>Auditor</cp:lastModifiedBy>
  <dcterms:created xsi:type="dcterms:W3CDTF">2023-11-28T04:48:36Z</dcterms:created>
  <dcterms:modified xsi:type="dcterms:W3CDTF">2023-11-28T04:49:00Z</dcterms:modified>
</cp:coreProperties>
</file>