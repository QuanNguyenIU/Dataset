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MEGA\Acca\2.AFM\Last month\"/>
    </mc:Choice>
  </mc:AlternateContent>
  <bookViews>
    <workbookView minimized="1" xWindow="0" yWindow="0" windowWidth="19515" windowHeight="8205"/>
  </bookViews>
  <sheets>
    <sheet name="Sheet4" sheetId="4" r:id="rId1"/>
    <sheet name="Sheet1" sheetId="5" r:id="rId2"/>
    <sheet name="Tramount-APV" sheetId="1" r:id="rId3"/>
    <sheet name="Talam-options" sheetId="2" r:id="rId4"/>
    <sheet name="CHIKEPE CO MAR JUN 18" sheetId="3" r:id="rId5"/>
    <sheet name="Arthuru-CFE" sheetId="6" r:id="rId6"/>
    <sheet name="Sheet3" sheetId="7" r:id="rId7"/>
    <sheet name=" Tippletine Co 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8" l="1"/>
  <c r="J56" i="8"/>
  <c r="K56" i="8"/>
  <c r="B40" i="8"/>
  <c r="F37" i="8"/>
  <c r="F21" i="8"/>
  <c r="L28" i="8"/>
  <c r="L27" i="8"/>
  <c r="O55" i="8"/>
  <c r="O56" i="8" s="1"/>
  <c r="O54" i="8"/>
  <c r="A52" i="8"/>
  <c r="K55" i="8"/>
  <c r="J55" i="8"/>
  <c r="A58" i="8"/>
  <c r="J53" i="8"/>
  <c r="J45" i="8"/>
  <c r="J46" i="8"/>
  <c r="M46" i="8"/>
  <c r="B39" i="8"/>
  <c r="C26" i="8"/>
  <c r="A28" i="8"/>
  <c r="E24" i="8"/>
  <c r="D24" i="8"/>
  <c r="N19" i="8"/>
  <c r="O19" i="8" s="1"/>
  <c r="P19" i="8" s="1"/>
  <c r="Q19" i="8" s="1"/>
  <c r="J37" i="8"/>
  <c r="K37" i="8" s="1"/>
  <c r="K36" i="8"/>
  <c r="L36" i="8" s="1"/>
  <c r="M36" i="8" s="1"/>
  <c r="N36" i="8" s="1"/>
  <c r="I22" i="8"/>
  <c r="C21" i="8"/>
  <c r="E20" i="8"/>
  <c r="F20" i="8" s="1"/>
  <c r="C18" i="8"/>
  <c r="D18" i="8" s="1"/>
  <c r="E18" i="8" s="1"/>
  <c r="F18" i="8" s="1"/>
  <c r="C15" i="8"/>
  <c r="O46" i="8" l="1"/>
  <c r="O47" i="8" s="1"/>
  <c r="L29" i="8"/>
  <c r="E26" i="8"/>
  <c r="D21" i="8"/>
  <c r="F28" i="8" s="1"/>
  <c r="C28" i="8"/>
  <c r="C39" i="8" s="1"/>
  <c r="L37" i="8"/>
  <c r="K38" i="8"/>
  <c r="K40" i="8" s="1"/>
  <c r="C37" i="8" s="1"/>
  <c r="E21" i="8"/>
  <c r="E28" i="8" s="1"/>
  <c r="N21" i="8"/>
  <c r="N23" i="8" s="1"/>
  <c r="O22" i="8" s="1"/>
  <c r="P21" i="8" l="1"/>
  <c r="O21" i="8"/>
  <c r="O23" i="8" s="1"/>
  <c r="P22" i="8" s="1"/>
  <c r="D26" i="8"/>
  <c r="D28" i="8"/>
  <c r="Q21" i="8"/>
  <c r="Q23" i="8" s="1"/>
  <c r="I21" i="8"/>
  <c r="M37" i="8"/>
  <c r="L38" i="8"/>
  <c r="L40" i="8" s="1"/>
  <c r="D37" i="8" s="1"/>
  <c r="D39" i="8" l="1"/>
  <c r="P23" i="8"/>
  <c r="Q24" i="8"/>
  <c r="G24" i="8" s="1"/>
  <c r="G26" i="8" s="1"/>
  <c r="G39" i="8" s="1"/>
  <c r="N37" i="8"/>
  <c r="N38" i="8" s="1"/>
  <c r="M38" i="8"/>
  <c r="M40" i="8" s="1"/>
  <c r="E37" i="8" s="1"/>
  <c r="E39" i="8" s="1"/>
  <c r="N39" i="8"/>
  <c r="P24" i="8" l="1"/>
  <c r="F24" i="8" s="1"/>
  <c r="F26" i="8" s="1"/>
  <c r="F39" i="8" s="1"/>
  <c r="A42" i="8" s="1"/>
  <c r="B12" i="8" s="1"/>
  <c r="N40" i="8"/>
  <c r="B12" i="6" l="1"/>
  <c r="B22" i="6"/>
  <c r="A22" i="6"/>
  <c r="B13" i="6"/>
  <c r="C14" i="6" s="1"/>
  <c r="B14" i="6" s="1"/>
  <c r="B20" i="6"/>
  <c r="A19" i="6"/>
  <c r="A18" i="6"/>
  <c r="I22" i="6"/>
  <c r="J22" i="6" s="1"/>
  <c r="B17" i="6" s="1"/>
  <c r="E12" i="6"/>
  <c r="H23" i="6" s="1"/>
  <c r="B18" i="6" s="1"/>
  <c r="H18" i="6"/>
  <c r="H19" i="6" s="1"/>
  <c r="B19" i="6" s="1"/>
  <c r="G18" i="6"/>
  <c r="H17" i="6"/>
  <c r="D9" i="6"/>
  <c r="D6" i="6"/>
  <c r="B5" i="6"/>
  <c r="B21" i="6" l="1"/>
  <c r="C5" i="6"/>
  <c r="D5" i="6" s="1"/>
  <c r="T37" i="4" l="1"/>
  <c r="Q46" i="4" s="1"/>
  <c r="E50" i="4" s="1"/>
  <c r="E53" i="4" s="1"/>
  <c r="B46" i="4"/>
  <c r="C50" i="4"/>
  <c r="C53" i="4" s="1"/>
  <c r="J46" i="4"/>
  <c r="D50" i="4" s="1"/>
  <c r="D53" i="4" s="1"/>
  <c r="D52" i="4"/>
  <c r="E52" i="4"/>
  <c r="C52" i="4"/>
  <c r="F51" i="4"/>
  <c r="E51" i="4"/>
  <c r="D51" i="4"/>
  <c r="C51" i="4"/>
  <c r="A51" i="4"/>
  <c r="L38" i="4"/>
  <c r="R41" i="4"/>
  <c r="K41" i="4"/>
  <c r="D41" i="4"/>
  <c r="U37" i="4"/>
  <c r="N37" i="4"/>
  <c r="G37" i="4"/>
  <c r="S40" i="4"/>
  <c r="S39" i="4"/>
  <c r="S38" i="4"/>
  <c r="S37" i="4"/>
  <c r="L40" i="4"/>
  <c r="L39" i="4"/>
  <c r="M37" i="4"/>
  <c r="L37" i="4"/>
  <c r="F37" i="4"/>
  <c r="E38" i="4"/>
  <c r="E39" i="4"/>
  <c r="E40" i="4"/>
  <c r="E37" i="4"/>
  <c r="A39" i="4"/>
  <c r="A40" i="4" s="1"/>
  <c r="A38" i="4"/>
  <c r="C6" i="5" l="1"/>
  <c r="C105" i="5"/>
  <c r="D105" i="5" s="1"/>
  <c r="E105" i="5" s="1"/>
  <c r="F105" i="5" s="1"/>
  <c r="B95" i="5"/>
  <c r="A99" i="5"/>
  <c r="M57" i="5"/>
  <c r="A68" i="5"/>
  <c r="A98" i="5" s="1"/>
  <c r="A67" i="5"/>
  <c r="B3" i="5" s="1"/>
  <c r="K59" i="5"/>
  <c r="K60" i="5" s="1"/>
  <c r="B84" i="5"/>
  <c r="B86" i="5" s="1"/>
  <c r="B87" i="5" s="1"/>
  <c r="B80" i="5"/>
  <c r="D80" i="5" s="1"/>
  <c r="B97" i="5"/>
  <c r="D3" i="5" s="1"/>
  <c r="C94" i="5"/>
  <c r="D94" i="5" s="1"/>
  <c r="E94" i="5" s="1"/>
  <c r="F94" i="5" s="1"/>
  <c r="L33" i="5"/>
  <c r="M33" i="5" s="1"/>
  <c r="N33" i="5" s="1"/>
  <c r="O33" i="5" s="1"/>
  <c r="L19" i="5"/>
  <c r="S23" i="5"/>
  <c r="T23" i="5" s="1"/>
  <c r="U23" i="5" s="1"/>
  <c r="V23" i="5" s="1"/>
  <c r="C23" i="5"/>
  <c r="D23" i="5" s="1"/>
  <c r="D29" i="5" s="1"/>
  <c r="K42" i="5"/>
  <c r="K44" i="5"/>
  <c r="L34" i="5"/>
  <c r="M34" i="5" s="1"/>
  <c r="N34" i="5" s="1"/>
  <c r="O34" i="5" s="1"/>
  <c r="J30" i="5"/>
  <c r="K35" i="5"/>
  <c r="L32" i="5"/>
  <c r="M32" i="5" s="1"/>
  <c r="N32" i="5" s="1"/>
  <c r="O32" i="5" s="1"/>
  <c r="L18" i="5"/>
  <c r="M18" i="5" s="1"/>
  <c r="N18" i="5" s="1"/>
  <c r="O18" i="5" s="1"/>
  <c r="O26" i="5" s="1"/>
  <c r="O27" i="5" s="1"/>
  <c r="F21" i="5" s="1"/>
  <c r="C18" i="5"/>
  <c r="D18" i="5" s="1"/>
  <c r="B4" i="5" l="1"/>
  <c r="B51" i="5"/>
  <c r="B52" i="5" s="1"/>
  <c r="B58" i="5" s="1"/>
  <c r="B90" i="5"/>
  <c r="C29" i="5"/>
  <c r="L20" i="5"/>
  <c r="L21" i="5" s="1"/>
  <c r="C20" i="5" s="1"/>
  <c r="L26" i="5"/>
  <c r="L27" i="5" s="1"/>
  <c r="C21" i="5" s="1"/>
  <c r="L35" i="5"/>
  <c r="L38" i="5" s="1"/>
  <c r="C22" i="5" s="1"/>
  <c r="E23" i="5"/>
  <c r="O35" i="5"/>
  <c r="O38" i="5" s="1"/>
  <c r="F22" i="5" s="1"/>
  <c r="N35" i="5"/>
  <c r="N38" i="5" s="1"/>
  <c r="E22" i="5" s="1"/>
  <c r="M35" i="5"/>
  <c r="M38" i="5" s="1"/>
  <c r="D22" i="5" s="1"/>
  <c r="M20" i="5"/>
  <c r="M21" i="5" s="1"/>
  <c r="D20" i="5" s="1"/>
  <c r="T24" i="5" s="1"/>
  <c r="M26" i="5"/>
  <c r="M27" i="5" s="1"/>
  <c r="D21" i="5" s="1"/>
  <c r="N20" i="5"/>
  <c r="N26" i="5"/>
  <c r="N27" i="5" s="1"/>
  <c r="E21" i="5" s="1"/>
  <c r="O20" i="5"/>
  <c r="E18" i="5"/>
  <c r="B67" i="3"/>
  <c r="B66" i="3"/>
  <c r="B65" i="3"/>
  <c r="A65" i="3"/>
  <c r="B59" i="3"/>
  <c r="B57" i="3"/>
  <c r="B56" i="3"/>
  <c r="B55" i="3"/>
  <c r="A55" i="3"/>
  <c r="B53" i="3"/>
  <c r="B52" i="3"/>
  <c r="B51" i="3"/>
  <c r="G50" i="3"/>
  <c r="B50" i="3"/>
  <c r="G47" i="3"/>
  <c r="E45" i="3"/>
  <c r="D45" i="3"/>
  <c r="C45" i="3"/>
  <c r="B45" i="3"/>
  <c r="E48" i="3"/>
  <c r="D48" i="3"/>
  <c r="C48" i="3"/>
  <c r="G49" i="3"/>
  <c r="G48" i="3"/>
  <c r="I34" i="3"/>
  <c r="B36" i="3" s="1"/>
  <c r="B48" i="3"/>
  <c r="C43" i="3"/>
  <c r="D43" i="3" s="1"/>
  <c r="C42" i="3"/>
  <c r="D42" i="3" s="1"/>
  <c r="E42" i="3" s="1"/>
  <c r="B44" i="3"/>
  <c r="F15" i="3"/>
  <c r="F17" i="3" s="1"/>
  <c r="B14" i="3" s="1"/>
  <c r="H21" i="3"/>
  <c r="F49" i="2"/>
  <c r="E49" i="2"/>
  <c r="D49" i="2"/>
  <c r="C49" i="2"/>
  <c r="A52" i="2" s="1"/>
  <c r="B49" i="2"/>
  <c r="F48" i="2"/>
  <c r="E48" i="2"/>
  <c r="D48" i="2"/>
  <c r="C48" i="2"/>
  <c r="B48" i="2"/>
  <c r="A50" i="2" s="1"/>
  <c r="A43" i="2"/>
  <c r="F43" i="2"/>
  <c r="F36" i="2"/>
  <c r="I49" i="2"/>
  <c r="I47" i="2"/>
  <c r="I48" i="2"/>
  <c r="I46" i="2"/>
  <c r="I45" i="2"/>
  <c r="C40" i="2"/>
  <c r="F37" i="2"/>
  <c r="E37" i="2"/>
  <c r="D37" i="2"/>
  <c r="C37" i="2"/>
  <c r="N34" i="2"/>
  <c r="C44" i="2"/>
  <c r="O40" i="2" s="1"/>
  <c r="B47" i="2"/>
  <c r="F42" i="2"/>
  <c r="E42" i="2"/>
  <c r="D42" i="2"/>
  <c r="C42" i="2"/>
  <c r="A42" i="2"/>
  <c r="D39" i="2"/>
  <c r="C39" i="2"/>
  <c r="E35" i="2"/>
  <c r="F35" i="2" s="1"/>
  <c r="D35" i="2"/>
  <c r="C35" i="2"/>
  <c r="N41" i="2"/>
  <c r="N40" i="2"/>
  <c r="N33" i="2"/>
  <c r="B44" i="2"/>
  <c r="N32" i="2"/>
  <c r="M32" i="2"/>
  <c r="N31" i="2"/>
  <c r="M31" i="2"/>
  <c r="M30" i="2"/>
  <c r="N30" i="2" s="1"/>
  <c r="O30" i="2" s="1"/>
  <c r="P30" i="2" s="1"/>
  <c r="J37" i="2"/>
  <c r="E38" i="2"/>
  <c r="F38" i="2" s="1"/>
  <c r="D38" i="2"/>
  <c r="D33" i="2"/>
  <c r="D34" i="2" s="1"/>
  <c r="E32" i="2"/>
  <c r="F32" i="2" s="1"/>
  <c r="D32" i="2"/>
  <c r="E31" i="2"/>
  <c r="F31" i="2" s="1"/>
  <c r="P31" i="2" s="1"/>
  <c r="P32" i="2" s="1"/>
  <c r="D31" i="2"/>
  <c r="C34" i="2"/>
  <c r="C33" i="2"/>
  <c r="E29" i="2"/>
  <c r="F29" i="2" s="1"/>
  <c r="D29" i="2"/>
  <c r="C29" i="2"/>
  <c r="B15" i="1"/>
  <c r="B14" i="1"/>
  <c r="B13" i="1"/>
  <c r="F27" i="1"/>
  <c r="E27" i="1"/>
  <c r="D27" i="1"/>
  <c r="C27" i="1"/>
  <c r="F26" i="1"/>
  <c r="E26" i="1"/>
  <c r="D26" i="1"/>
  <c r="C26" i="1"/>
  <c r="B11" i="1"/>
  <c r="B12" i="1"/>
  <c r="P44" i="1"/>
  <c r="O44" i="1"/>
  <c r="N44" i="1"/>
  <c r="M44" i="1"/>
  <c r="P43" i="1"/>
  <c r="O43" i="1"/>
  <c r="N43" i="1"/>
  <c r="P42" i="1"/>
  <c r="O42" i="1"/>
  <c r="N42" i="1"/>
  <c r="M42" i="1"/>
  <c r="M43" i="1" s="1"/>
  <c r="M35" i="1"/>
  <c r="N35" i="1" s="1"/>
  <c r="O35" i="1" s="1"/>
  <c r="P35" i="1" s="1"/>
  <c r="O41" i="1"/>
  <c r="P41" i="1" s="1"/>
  <c r="N41" i="1"/>
  <c r="Q41" i="1"/>
  <c r="I109" i="1"/>
  <c r="F108" i="1"/>
  <c r="E108" i="1"/>
  <c r="D108" i="1"/>
  <c r="C108" i="1"/>
  <c r="B108" i="1"/>
  <c r="N29" i="1"/>
  <c r="N28" i="1"/>
  <c r="N27" i="1"/>
  <c r="N26" i="1"/>
  <c r="N25" i="1"/>
  <c r="N83" i="1"/>
  <c r="P83" i="1"/>
  <c r="P82" i="1"/>
  <c r="F105" i="1"/>
  <c r="F106" i="1" s="1"/>
  <c r="F107" i="1" s="1"/>
  <c r="G88" i="1"/>
  <c r="F91" i="1"/>
  <c r="F92" i="1"/>
  <c r="E92" i="1"/>
  <c r="D92" i="1"/>
  <c r="C92" i="1"/>
  <c r="E91" i="1"/>
  <c r="E89" i="1"/>
  <c r="D89" i="1"/>
  <c r="C90" i="1"/>
  <c r="D79" i="1"/>
  <c r="C84" i="1"/>
  <c r="C79" i="1"/>
  <c r="B103" i="1"/>
  <c r="B107" i="1" s="1"/>
  <c r="R81" i="1"/>
  <c r="D85" i="1"/>
  <c r="E85" i="1" s="1"/>
  <c r="F85" i="1" s="1"/>
  <c r="M92" i="1"/>
  <c r="L92" i="1"/>
  <c r="J94" i="1" s="1"/>
  <c r="A53" i="1"/>
  <c r="K81" i="1"/>
  <c r="K80" i="1"/>
  <c r="N82" i="1" s="1"/>
  <c r="M37" i="1"/>
  <c r="L36" i="1"/>
  <c r="M25" i="1"/>
  <c r="L26" i="1"/>
  <c r="L27" i="1" s="1"/>
  <c r="L28" i="1" s="1"/>
  <c r="L29" i="1" s="1"/>
  <c r="J27" i="1"/>
  <c r="J28" i="1" s="1"/>
  <c r="J29" i="1" s="1"/>
  <c r="K26" i="1"/>
  <c r="K105" i="1"/>
  <c r="L105" i="1" s="1"/>
  <c r="L104" i="1"/>
  <c r="M104" i="1" s="1"/>
  <c r="N104" i="1" s="1"/>
  <c r="O104" i="1" s="1"/>
  <c r="F94" i="1"/>
  <c r="C76" i="1"/>
  <c r="D76" i="1" s="1"/>
  <c r="E76" i="1" s="1"/>
  <c r="F76" i="1" s="1"/>
  <c r="D23" i="1"/>
  <c r="E23" i="1" s="1"/>
  <c r="F23" i="1" s="1"/>
  <c r="C22" i="1"/>
  <c r="D22" i="1" s="1"/>
  <c r="E22" i="1" s="1"/>
  <c r="F22" i="1" s="1"/>
  <c r="J64" i="5" l="1"/>
  <c r="B59" i="5"/>
  <c r="J63" i="5"/>
  <c r="J65" i="5" s="1"/>
  <c r="B60" i="5" s="1"/>
  <c r="D24" i="5"/>
  <c r="D25" i="5" s="1"/>
  <c r="S24" i="5"/>
  <c r="T25" i="5" s="1"/>
  <c r="T26" i="5" s="1"/>
  <c r="C27" i="5" s="1"/>
  <c r="B27" i="5"/>
  <c r="C24" i="5"/>
  <c r="C25" i="5" s="1"/>
  <c r="E29" i="5"/>
  <c r="K41" i="5"/>
  <c r="K43" i="5" s="1"/>
  <c r="K45" i="5" s="1"/>
  <c r="F23" i="5" s="1"/>
  <c r="F29" i="5" s="1"/>
  <c r="F18" i="5"/>
  <c r="O21" i="5" s="1"/>
  <c r="F20" i="5" s="1"/>
  <c r="V24" i="5" s="1"/>
  <c r="N21" i="5"/>
  <c r="E20" i="5" s="1"/>
  <c r="U24" i="5" s="1"/>
  <c r="U25" i="5" s="1"/>
  <c r="U26" i="5" s="1"/>
  <c r="D27" i="5" s="1"/>
  <c r="D44" i="3"/>
  <c r="D47" i="3"/>
  <c r="E43" i="3"/>
  <c r="C47" i="3"/>
  <c r="C44" i="3"/>
  <c r="B15" i="3"/>
  <c r="B18" i="3" s="1"/>
  <c r="B26" i="3" s="1"/>
  <c r="B27" i="3" s="1"/>
  <c r="B29" i="3" s="1"/>
  <c r="E33" i="2"/>
  <c r="E34" i="2" s="1"/>
  <c r="E39" i="2" s="1"/>
  <c r="F33" i="2"/>
  <c r="F34" i="2" s="1"/>
  <c r="F39" i="2" s="1"/>
  <c r="F40" i="2" s="1"/>
  <c r="F41" i="2" s="1"/>
  <c r="O31" i="2"/>
  <c r="O32" i="2" s="1"/>
  <c r="O33" i="2" s="1"/>
  <c r="O34" i="2" s="1"/>
  <c r="D44" i="2" s="1"/>
  <c r="C41" i="2"/>
  <c r="D40" i="2"/>
  <c r="D41" i="2" s="1"/>
  <c r="E40" i="2"/>
  <c r="E41" i="2" s="1"/>
  <c r="C47" i="2"/>
  <c r="O41" i="2"/>
  <c r="P40" i="2"/>
  <c r="L80" i="1"/>
  <c r="E79" i="1"/>
  <c r="F79" i="1"/>
  <c r="R80" i="1"/>
  <c r="M26" i="1"/>
  <c r="M36" i="1"/>
  <c r="M41" i="1" s="1"/>
  <c r="C94" i="1"/>
  <c r="D94" i="1"/>
  <c r="E94" i="1"/>
  <c r="K27" i="1"/>
  <c r="K28" i="1" s="1"/>
  <c r="K29" i="1" s="1"/>
  <c r="M29" i="1" s="1"/>
  <c r="M105" i="1"/>
  <c r="M106" i="1" s="1"/>
  <c r="D105" i="1" s="1"/>
  <c r="L106" i="1"/>
  <c r="C105" i="1" s="1"/>
  <c r="B62" i="5" l="1"/>
  <c r="B68" i="5" s="1"/>
  <c r="D30" i="5"/>
  <c r="D31" i="5" s="1"/>
  <c r="D106" i="5" s="1"/>
  <c r="D107" i="5" s="1"/>
  <c r="C30" i="5"/>
  <c r="C31" i="5" s="1"/>
  <c r="C106" i="5" s="1"/>
  <c r="C107" i="5" s="1"/>
  <c r="F24" i="5"/>
  <c r="F25" i="5" s="1"/>
  <c r="V25" i="5"/>
  <c r="V26" i="5" s="1"/>
  <c r="E27" i="5" s="1"/>
  <c r="F27" i="5" s="1"/>
  <c r="E24" i="5"/>
  <c r="E25" i="5" s="1"/>
  <c r="B30" i="5"/>
  <c r="E47" i="3"/>
  <c r="E44" i="3"/>
  <c r="D47" i="2"/>
  <c r="P33" i="2"/>
  <c r="P34" i="2" s="1"/>
  <c r="E44" i="2" s="1"/>
  <c r="F44" i="2" s="1"/>
  <c r="F47" i="2" s="1"/>
  <c r="F78" i="1"/>
  <c r="F80" i="1"/>
  <c r="M28" i="1"/>
  <c r="C78" i="1"/>
  <c r="C80" i="1"/>
  <c r="M27" i="1"/>
  <c r="N105" i="1"/>
  <c r="N106" i="1" s="1"/>
  <c r="E105" i="1" s="1"/>
  <c r="B98" i="5" l="1"/>
  <c r="C4" i="5"/>
  <c r="E30" i="5"/>
  <c r="E31" i="5" s="1"/>
  <c r="E106" i="5" s="1"/>
  <c r="E107" i="5" s="1"/>
  <c r="F30" i="5"/>
  <c r="E47" i="2"/>
  <c r="F81" i="1"/>
  <c r="E80" i="1"/>
  <c r="E78" i="1"/>
  <c r="E81" i="1" s="1"/>
  <c r="D78" i="1"/>
  <c r="D80" i="1"/>
  <c r="C81" i="1"/>
  <c r="C88" i="1" s="1"/>
  <c r="O105" i="1"/>
  <c r="O106" i="1" s="1"/>
  <c r="B99" i="5" l="1"/>
  <c r="D5" i="5" s="1"/>
  <c r="D4" i="5"/>
  <c r="B35" i="5"/>
  <c r="F31" i="5"/>
  <c r="F106" i="5" s="1"/>
  <c r="D81" i="1"/>
  <c r="D88" i="1"/>
  <c r="G106" i="5" l="1"/>
  <c r="F107" i="5"/>
  <c r="G107" i="5" s="1"/>
  <c r="B108" i="5" s="1"/>
  <c r="B67" i="5"/>
  <c r="D90" i="1"/>
  <c r="C107" i="1"/>
  <c r="F88" i="1"/>
  <c r="F90" i="1" s="1"/>
  <c r="E88" i="1"/>
  <c r="B69" i="5" l="1"/>
  <c r="C5" i="5" s="1"/>
  <c r="C3" i="5"/>
  <c r="E90" i="1"/>
  <c r="D107" i="1"/>
  <c r="E107" i="1" l="1"/>
  <c r="B60" i="8"/>
  <c r="J60" i="8"/>
  <c r="J59" i="8"/>
  <c r="L56" i="8" l="1"/>
  <c r="L55" i="8"/>
  <c r="B59" i="8" s="1"/>
  <c r="J61" i="8"/>
  <c r="B58" i="8" s="1"/>
  <c r="B62" i="8" s="1"/>
  <c r="B13" i="8" s="1"/>
  <c r="B14" i="8" s="1"/>
</calcChain>
</file>

<file path=xl/comments1.xml><?xml version="1.0" encoding="utf-8"?>
<comments xmlns="http://schemas.openxmlformats.org/spreadsheetml/2006/main">
  <authors>
    <author>Muhammad Haseeb Khan Durrani</author>
  </authors>
  <commentList>
    <comment ref="P82" authorId="0" shapeId="0">
      <text>
        <r>
          <rPr>
            <b/>
            <sz val="9"/>
            <color indexed="81"/>
            <rFont val="Tahoma"/>
            <family val="2"/>
          </rPr>
          <t xml:space="preserve">Muhammad Haseeb Khan Durrani:
</t>
        </r>
        <r>
          <rPr>
            <sz val="9"/>
            <color indexed="81"/>
            <rFont val="Tahoma"/>
            <family val="2"/>
          </rPr>
          <t xml:space="preserve">Tax will be according to the </t>
        </r>
        <r>
          <rPr>
            <b/>
            <sz val="9"/>
            <color indexed="81"/>
            <rFont val="Tahoma"/>
            <family val="2"/>
          </rPr>
          <t>entity's location</t>
        </r>
      </text>
    </comment>
    <comment ref="C91" authorId="0" shapeId="0">
      <text>
        <r>
          <rPr>
            <b/>
            <sz val="9"/>
            <color indexed="81"/>
            <rFont val="Tahoma"/>
            <family val="2"/>
          </rPr>
          <t>Muhammad Haseeb Khan Durrani:</t>
        </r>
        <r>
          <rPr>
            <sz val="9"/>
            <color indexed="81"/>
            <rFont val="Tahoma"/>
            <family val="2"/>
          </rPr>
          <t xml:space="preserve">
Losses c/f working</t>
        </r>
      </text>
    </comment>
  </commentList>
</comments>
</file>

<file path=xl/sharedStrings.xml><?xml version="1.0" encoding="utf-8"?>
<sst xmlns="http://schemas.openxmlformats.org/spreadsheetml/2006/main" count="451" uniqueCount="328">
  <si>
    <t>(a) Prepare a report for the Board of Directors (BoD) of Tramont Co that</t>
  </si>
  <si>
    <t xml:space="preserve">(i) Evaluates whether or not Tramont Co should undertake the project to produce the X-IT in Gamala and cease </t>
  </si>
  <si>
    <t xml:space="preserve">its production in the USA immediately. In the evaluation, include all relevant calculations in the form of a </t>
  </si>
  <si>
    <t>financial assessment and explain any assumptions made.</t>
  </si>
  <si>
    <t xml:space="preserve"> It is suggested that the financial assessment should be based on present value of the operating cash flows </t>
  </si>
  <si>
    <t xml:space="preserve">from the Gamalan project, discounted by an appropriate all-equity rate, and adjusted by the present value of </t>
  </si>
  <si>
    <t>all other relevant cash flows. (27 marks)</t>
  </si>
  <si>
    <t>TRAMOUNT</t>
  </si>
  <si>
    <t>In Million</t>
  </si>
  <si>
    <t>Investment</t>
  </si>
  <si>
    <t xml:space="preserve">Tramont Co has to decide </t>
  </si>
  <si>
    <t xml:space="preserve">whether to continue production of the X-IT in the USA for the next four years or to move the production to Gamala </t>
  </si>
  <si>
    <t>immediately.</t>
  </si>
  <si>
    <t>CM</t>
  </si>
  <si>
    <t>Cosf of closure</t>
  </si>
  <si>
    <t>Excess asets sold</t>
  </si>
  <si>
    <t>X-IT moving to Gamala.</t>
  </si>
  <si>
    <t>in USA</t>
  </si>
  <si>
    <t>L&amp;B</t>
  </si>
  <si>
    <t>Machinery</t>
  </si>
  <si>
    <t>Dep</t>
  </si>
  <si>
    <t>WC</t>
  </si>
  <si>
    <t>WC (w1)</t>
  </si>
  <si>
    <t>(w1)</t>
  </si>
  <si>
    <t>Inf rate=</t>
  </si>
  <si>
    <t>WC inflated</t>
  </si>
  <si>
    <t>Sales Prod</t>
  </si>
  <si>
    <t>SP</t>
  </si>
  <si>
    <t>FC</t>
  </si>
  <si>
    <t>VC local</t>
  </si>
  <si>
    <t>W2</t>
  </si>
  <si>
    <t>GR</t>
  </si>
  <si>
    <t>Y0</t>
  </si>
  <si>
    <t>$</t>
  </si>
  <si>
    <t>GR/$</t>
  </si>
  <si>
    <t>Sales unints prodcuced in Gam</t>
  </si>
  <si>
    <t>Sales unints produced  in USA</t>
  </si>
  <si>
    <t>$/GR</t>
  </si>
  <si>
    <t>SP in GM</t>
  </si>
  <si>
    <t>VC interntional</t>
  </si>
  <si>
    <t>CM on sale to GM</t>
  </si>
  <si>
    <t>Tax @ 30%</t>
  </si>
  <si>
    <t>Tax @ 20%</t>
  </si>
  <si>
    <t>PAT</t>
  </si>
  <si>
    <t>Non cash exp</t>
  </si>
  <si>
    <t>PBT</t>
  </si>
  <si>
    <t>Losses C/f</t>
  </si>
  <si>
    <t>GAMALAN project in USA</t>
  </si>
  <si>
    <t>GAMALAN project in GAMALA</t>
  </si>
  <si>
    <t>Cmm borr rate</t>
  </si>
  <si>
    <t>Gamamla</t>
  </si>
  <si>
    <t>Sub loan</t>
  </si>
  <si>
    <t>APV</t>
  </si>
  <si>
    <t>Base case NPV</t>
  </si>
  <si>
    <t>Sub on loan</t>
  </si>
  <si>
    <t>Tax saving on loan</t>
  </si>
  <si>
    <t>Financing Side effects (W3)</t>
  </si>
  <si>
    <t>(W3)</t>
  </si>
  <si>
    <t>(W4)</t>
  </si>
  <si>
    <t>N.o of share</t>
  </si>
  <si>
    <t>MP</t>
  </si>
  <si>
    <t>$ in M</t>
  </si>
  <si>
    <t>E=</t>
  </si>
  <si>
    <t>D=</t>
  </si>
  <si>
    <t>Beta=</t>
  </si>
  <si>
    <t>Rf</t>
  </si>
  <si>
    <t>Rmm-Rf</t>
  </si>
  <si>
    <t>WACC (USA)</t>
  </si>
  <si>
    <t>Total CF</t>
  </si>
  <si>
    <t>DF</t>
  </si>
  <si>
    <t>Exisiting ke=</t>
  </si>
  <si>
    <t>New KE</t>
  </si>
  <si>
    <t>Existing</t>
  </si>
  <si>
    <t>keg=</t>
  </si>
  <si>
    <t>1-4</t>
  </si>
  <si>
    <t>CF</t>
  </si>
  <si>
    <t>KD</t>
  </si>
  <si>
    <t>keu+(keu-3.56%)*57.12/60</t>
  </si>
  <si>
    <t>keU=</t>
  </si>
  <si>
    <t>Prject KE</t>
  </si>
  <si>
    <t>Total CM</t>
  </si>
  <si>
    <t>T.CF</t>
  </si>
  <si>
    <t>Asseet beta</t>
  </si>
  <si>
    <t>inflate both, the foreign currency using the inflated exchange rate as well as the component  that is imported using the foreign country;s inflation rate</t>
  </si>
  <si>
    <t>No tax on losses</t>
  </si>
  <si>
    <t>PBT after losses c/f</t>
  </si>
  <si>
    <t>Cash flows</t>
  </si>
  <si>
    <t xml:space="preserve">PAT </t>
  </si>
  <si>
    <t>Tax @ 20% (PBT*T%)</t>
  </si>
  <si>
    <t>Project All-equity Beta</t>
  </si>
  <si>
    <t>Exc rate</t>
  </si>
  <si>
    <r>
      <t xml:space="preserve">Borr rate for </t>
    </r>
    <r>
      <rPr>
        <b/>
        <sz val="11"/>
        <color theme="1"/>
        <rFont val="Calibri"/>
        <family val="2"/>
        <scheme val="minor"/>
      </rPr>
      <t xml:space="preserve">$USD </t>
    </r>
    <r>
      <rPr>
        <sz val="11"/>
        <color theme="1"/>
        <rFont val="Calibri"/>
        <family val="2"/>
        <scheme val="minor"/>
      </rPr>
      <t>use as kd</t>
    </r>
  </si>
  <si>
    <t>net</t>
  </si>
  <si>
    <t>CM foregoine</t>
  </si>
  <si>
    <t>(b) Prepare a report for the board of directors (BoD) of Talam Co which: </t>
  </si>
  <si>
    <t> (i) Estimates, showing all relevant calculations, the net present value of the Uwa </t>
  </si>
  <si>
    <t>Project before considering the offer from Honua Co and the Jigu Project; </t>
  </si>
  <si>
    <t> (12 marks) </t>
  </si>
  <si>
    <t>Sale units</t>
  </si>
  <si>
    <t>vc</t>
  </si>
  <si>
    <t>$in 000</t>
  </si>
  <si>
    <t>Inf%</t>
  </si>
  <si>
    <t>Total CM in 000</t>
  </si>
  <si>
    <t>Training costs</t>
  </si>
  <si>
    <t>ndard deviation of 30%. </t>
  </si>
  <si>
    <t>Sale revenue</t>
  </si>
  <si>
    <t>Diff</t>
  </si>
  <si>
    <t xml:space="preserve"> </t>
  </si>
  <si>
    <t>Tax</t>
  </si>
  <si>
    <t>Wacc=</t>
  </si>
  <si>
    <t>WC diff</t>
  </si>
  <si>
    <t>Diff in revenue ka &amp; lena hai to calculate WC</t>
  </si>
  <si>
    <t>Tax savin is cash inflow</t>
  </si>
  <si>
    <t>cost</t>
  </si>
  <si>
    <t>acc dep</t>
  </si>
  <si>
    <t>sp</t>
  </si>
  <si>
    <t>loss</t>
  </si>
  <si>
    <t>Loss on sale of Machine</t>
  </si>
  <si>
    <t>CHIKEPE CO (MAR/JUN 18)</t>
  </si>
  <si>
    <t>c) Prepare a report for the board of directors of Chikepe Co which: </t>
  </si>
  <si>
    <t>(i) Estimates the current equity value of Foshoro Co (6 marks) </t>
  </si>
  <si>
    <t>(ii) Estimates the equity value arising from combining Foshoro Co with </t>
  </si>
  <si>
    <t>Chikepe Co (11 marks) </t>
  </si>
  <si>
    <t>(iii) Evaluates whether the acquisition of Foshoro Co would be beneficial to </t>
  </si>
  <si>
    <t>Chikepe Co’s shareholders and discusses the limitations of the valuation </t>
  </si>
  <si>
    <t>method used in (c)(i) and (c)(ii) above. (7 marks) </t>
  </si>
  <si>
    <t>D:E</t>
  </si>
  <si>
    <t>60/40</t>
  </si>
  <si>
    <t>TAD+ non cash ex</t>
  </si>
  <si>
    <t>Invest</t>
  </si>
  <si>
    <t>3 years ago</t>
  </si>
  <si>
    <t>WACC=</t>
  </si>
  <si>
    <t>Recent</t>
  </si>
  <si>
    <t>PBIT</t>
  </si>
  <si>
    <t>Total MV of Co</t>
  </si>
  <si>
    <t>D</t>
  </si>
  <si>
    <t>E</t>
  </si>
  <si>
    <t>taax rate likho</t>
  </si>
  <si>
    <t>Only interest paid will be written since that’s a cashflow</t>
  </si>
  <si>
    <t>less:interest paid</t>
  </si>
  <si>
    <t>g</t>
  </si>
  <si>
    <t>TAX rate</t>
  </si>
  <si>
    <t>interest</t>
  </si>
  <si>
    <t>tax</t>
  </si>
  <si>
    <t>Rate</t>
  </si>
  <si>
    <t>Sales</t>
  </si>
  <si>
    <t>g of CF</t>
  </si>
  <si>
    <t>D/E</t>
  </si>
  <si>
    <t>30/70</t>
  </si>
  <si>
    <t>i%=</t>
  </si>
  <si>
    <t>Premium</t>
  </si>
  <si>
    <t>C</t>
  </si>
  <si>
    <t>F</t>
  </si>
  <si>
    <t>B eq</t>
  </si>
  <si>
    <t>B asset</t>
  </si>
  <si>
    <t>Rm-Rf</t>
  </si>
  <si>
    <t>Tax=</t>
  </si>
  <si>
    <t>Combined Co</t>
  </si>
  <si>
    <t>C+F</t>
  </si>
  <si>
    <t>remember to discount using DF not AF since the amount is single</t>
  </si>
  <si>
    <t>terminal value</t>
  </si>
  <si>
    <t>MV of CO</t>
  </si>
  <si>
    <t>MV of E</t>
  </si>
  <si>
    <t>overall gain</t>
  </si>
  <si>
    <t> whether the acquisition of Foshoro Co would be beneficial to </t>
  </si>
  <si>
    <t>Chikepe Co’s shareholde</t>
  </si>
  <si>
    <t xml:space="preserve"> discusses the limitations of the valuation </t>
  </si>
  <si>
    <t>method used in (c)(i) and (c)(ii) above. </t>
  </si>
  <si>
    <t>premium paid to F</t>
  </si>
  <si>
    <t>Beneficial to C shareholders</t>
  </si>
  <si>
    <t>21 OKAN CO (SEP/DEC 19) </t>
  </si>
  <si>
    <t>okan</t>
  </si>
  <si>
    <t>Yasailand</t>
  </si>
  <si>
    <t>Y$</t>
  </si>
  <si>
    <t>(ii) Estimates 
– Project Alpha’s and Project Beta’s base case NPV, in six months’ time, 
before considering the financing side effects (12 marks) </t>
  </si>
  <si>
    <t>A</t>
  </si>
  <si>
    <t>B</t>
  </si>
  <si>
    <t>Initial</t>
  </si>
  <si>
    <t>Y$ 000</t>
  </si>
  <si>
    <t>Cost</t>
  </si>
  <si>
    <t>sales real</t>
  </si>
  <si>
    <t>sales nominal</t>
  </si>
  <si>
    <t>Inf rate</t>
  </si>
  <si>
    <t>Sales (W1)</t>
  </si>
  <si>
    <t>W1</t>
  </si>
  <si>
    <t>Y inf rate</t>
  </si>
  <si>
    <t>Cost nominal</t>
  </si>
  <si>
    <t>Prod Cost (W2)</t>
  </si>
  <si>
    <t>Component cost (W3)</t>
  </si>
  <si>
    <t>$Y/Pound</t>
  </si>
  <si>
    <t>$Y</t>
  </si>
  <si>
    <t>Pound</t>
  </si>
  <si>
    <t>UK inf rate</t>
  </si>
  <si>
    <t>C costs in pound</t>
  </si>
  <si>
    <t>C costs in Y$</t>
  </si>
  <si>
    <t>Base Case NPV=</t>
  </si>
  <si>
    <t>TAD</t>
  </si>
  <si>
    <t>NRV</t>
  </si>
  <si>
    <t>Non Cash items</t>
  </si>
  <si>
    <t>TAD (W4)</t>
  </si>
  <si>
    <t>WC (W5)</t>
  </si>
  <si>
    <t>(W5)</t>
  </si>
  <si>
    <t>WC changes</t>
  </si>
  <si>
    <t>x</t>
  </si>
  <si>
    <t>Alpha</t>
  </si>
  <si>
    <t>Beta</t>
  </si>
  <si>
    <t>ALPHA</t>
  </si>
  <si>
    <t>BETA</t>
  </si>
  <si>
    <t>DCF</t>
  </si>
  <si>
    <t>remember to reduce investment from Netr cash flow</t>
  </si>
  <si>
    <t>ii)</t>
  </si>
  <si>
    <t>Financing side effects</t>
  </si>
  <si>
    <t>Fund</t>
  </si>
  <si>
    <t>min</t>
  </si>
  <si>
    <t>Max</t>
  </si>
  <si>
    <t>Forward</t>
  </si>
  <si>
    <t>Hedge in E</t>
  </si>
  <si>
    <t>Y$/E</t>
  </si>
  <si>
    <t>Money Market</t>
  </si>
  <si>
    <t>Loan borr</t>
  </si>
  <si>
    <t>Converted</t>
  </si>
  <si>
    <t>Invested in Home country</t>
  </si>
  <si>
    <t>Stronger currency=lower value</t>
  </si>
  <si>
    <t>Min debt</t>
  </si>
  <si>
    <t>Sub loan%</t>
  </si>
  <si>
    <t>Normal rate</t>
  </si>
  <si>
    <t>Sub=</t>
  </si>
  <si>
    <t>Sub net of tax</t>
  </si>
  <si>
    <t>Issue cost</t>
  </si>
  <si>
    <t>Sale of factory (W5)</t>
  </si>
  <si>
    <t>(W6)</t>
  </si>
  <si>
    <t>Interest saving net of tax (W6)</t>
  </si>
  <si>
    <t>Tax savings on interest (W6)</t>
  </si>
  <si>
    <t>(W7)</t>
  </si>
  <si>
    <t>Gross debt</t>
  </si>
  <si>
    <t>Net debt</t>
  </si>
  <si>
    <t>4 year Annuity</t>
  </si>
  <si>
    <r>
      <t xml:space="preserve">remember to multiply by </t>
    </r>
    <r>
      <rPr>
        <b/>
        <u/>
        <sz val="11"/>
        <color rgb="FFFF0000"/>
        <rFont val="Calibri"/>
        <family val="2"/>
        <scheme val="minor"/>
      </rPr>
      <t>ANNUITY FACTOR</t>
    </r>
  </si>
  <si>
    <t>Min Debt required</t>
  </si>
  <si>
    <t>Use "KD" for Financing sideeffects</t>
  </si>
  <si>
    <t>Issue cost (W7)</t>
  </si>
  <si>
    <t>Don’t net of tax unless asked</t>
  </si>
  <si>
    <t>Years</t>
  </si>
  <si>
    <t>Duration</t>
  </si>
  <si>
    <t>Total</t>
  </si>
  <si>
    <r>
      <t xml:space="preserve">Alpha </t>
    </r>
    <r>
      <rPr>
        <b/>
        <i/>
        <u/>
        <sz val="11"/>
        <color rgb="FFC00000"/>
        <rFont val="Calibri"/>
        <family val="2"/>
        <scheme val="minor"/>
      </rPr>
      <t>DCF</t>
    </r>
  </si>
  <si>
    <t>Total DCF</t>
  </si>
  <si>
    <t>Duration=</t>
  </si>
  <si>
    <t>Total PV*Years/Total PV</t>
  </si>
  <si>
    <t>Bennefits</t>
  </si>
  <si>
    <t>Drawbacks</t>
  </si>
  <si>
    <t>Dividend paid</t>
  </si>
  <si>
    <t>NEW inv expd</t>
  </si>
  <si>
    <t>I</t>
  </si>
  <si>
    <t>KE</t>
  </si>
  <si>
    <t>Mkt cap</t>
  </si>
  <si>
    <t>Increase in share price in last 12 months</t>
  </si>
  <si>
    <t>Dividend growth</t>
  </si>
  <si>
    <t>Dividend payout %</t>
  </si>
  <si>
    <t>Profitability growth</t>
  </si>
  <si>
    <t>E value</t>
  </si>
  <si>
    <t>Mkt cap%</t>
  </si>
  <si>
    <t>Until three months ag</t>
  </si>
  <si>
    <t>Arthuro Co’s dividend policy </t>
  </si>
  <si>
    <t>rthuro Co’s board decided that it </t>
  </si>
  <si>
    <t>should receive dividends of 60% of Bowerscots Co’s post‐tax profits and has allowed </t>
  </si>
  <si>
    <t>Bowerscots Co to use its remaining retained earnings to fund investments chosen by its </t>
  </si>
  <si>
    <t>management</t>
  </si>
  <si>
    <t>BV</t>
  </si>
  <si>
    <t>CR</t>
  </si>
  <si>
    <t>Right issue</t>
  </si>
  <si>
    <t>Total Shared</t>
  </si>
  <si>
    <t>Total BV</t>
  </si>
  <si>
    <t>Div.Min</t>
  </si>
  <si>
    <t>Inc</t>
  </si>
  <si>
    <t>NBV</t>
  </si>
  <si>
    <t>Profit on disposal (W1)</t>
  </si>
  <si>
    <t>(W1)</t>
  </si>
  <si>
    <t>(W2)</t>
  </si>
  <si>
    <t>NCA</t>
  </si>
  <si>
    <t>Current yr</t>
  </si>
  <si>
    <t>preceeding yr</t>
  </si>
  <si>
    <t>investment in NCA</t>
  </si>
  <si>
    <t>Dividend from Bostow</t>
  </si>
  <si>
    <t>38 TIPPLETINE CO (MAR/JUN 18) </t>
  </si>
  <si>
    <t>accepted or not. Show all relevant calculations. (15 marks) </t>
  </si>
  <si>
    <r>
      <t>(a)</t>
    </r>
    <r>
      <rPr>
        <b/>
        <sz val="11"/>
        <color theme="1"/>
        <rFont val="Calibri"/>
        <family val="2"/>
        <scheme val="minor"/>
      </rPr>
      <t> Calculate</t>
    </r>
    <r>
      <rPr>
        <sz val="11"/>
        <color theme="1"/>
        <rFont val="Calibri"/>
        <family val="2"/>
        <scheme val="minor"/>
      </rPr>
      <t> the adjusted present value for the investment on the basis that it is </t>
    </r>
  </si>
  <si>
    <r>
      <t>financed by the subsidised loan and </t>
    </r>
    <r>
      <rPr>
        <b/>
        <sz val="11"/>
        <color theme="1"/>
        <rFont val="Calibri"/>
        <family val="2"/>
        <scheme val="minor"/>
      </rPr>
      <t>conclud</t>
    </r>
    <r>
      <rPr>
        <sz val="11"/>
        <color theme="1"/>
        <rFont val="Calibri"/>
        <family val="2"/>
        <scheme val="minor"/>
      </rPr>
      <t>e whether the project should be </t>
    </r>
  </si>
  <si>
    <t>Conclusion</t>
  </si>
  <si>
    <t>Financing Side effects (Appendix Two)</t>
  </si>
  <si>
    <t>Base case NPV(Appendix one)</t>
  </si>
  <si>
    <t>Net operating cash flows  before mkting</t>
  </si>
  <si>
    <t>Marketing costs </t>
  </si>
  <si>
    <t>CAPEX</t>
  </si>
  <si>
    <t>TAD (W1)</t>
  </si>
  <si>
    <t>Balancing allowance</t>
  </si>
  <si>
    <t>WC (W2)</t>
  </si>
  <si>
    <t>WC recovered</t>
  </si>
  <si>
    <t>Loss c/f</t>
  </si>
  <si>
    <t>Net</t>
  </si>
  <si>
    <t>TCF</t>
  </si>
  <si>
    <t>Tax @ 30% (W3)</t>
  </si>
  <si>
    <t>W4</t>
  </si>
  <si>
    <t>Keg</t>
  </si>
  <si>
    <t>Kd</t>
  </si>
  <si>
    <t>Loan</t>
  </si>
  <si>
    <t>Subsidise loan(W5)</t>
  </si>
  <si>
    <t>i%</t>
  </si>
  <si>
    <t>Issue costs (W6)</t>
  </si>
  <si>
    <t>Gross finance</t>
  </si>
  <si>
    <t>IC</t>
  </si>
  <si>
    <t>Issue costs for the subsidised loan and convertible loan notes would be paid out of available </t>
  </si>
  <si>
    <t>cash reserves no no tax bneefit</t>
  </si>
  <si>
    <t>normal</t>
  </si>
  <si>
    <t>Sub%</t>
  </si>
  <si>
    <t>AF</t>
  </si>
  <si>
    <t>Interet saving net of tax</t>
  </si>
  <si>
    <t>1-5</t>
  </si>
  <si>
    <t>2-5</t>
  </si>
  <si>
    <t>Tax saing on loan(W7)</t>
  </si>
  <si>
    <t>Rm</t>
  </si>
  <si>
    <t>keg=keu+(keu-kd)*(1-.3)*D/E</t>
  </si>
  <si>
    <t>Keu</t>
  </si>
  <si>
    <t>Basset</t>
  </si>
  <si>
    <t>Ke</t>
  </si>
  <si>
    <t>The APV is    on financial grounds since it generates a positive</t>
  </si>
  <si>
    <t>Acc</t>
  </si>
  <si>
    <t>no addback Loss c/f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</si>
</sst>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0.0000%"/>
    <numFmt numFmtId="166" formatCode="0.000%"/>
    <numFmt numFmtId="167" formatCode="_(* #,##0.0_);_(* \(#,##0.0\);_(* &quot;-&quot;??_);_(@_)"/>
    <numFmt numFmtId="168" formatCode="_(* #,##0_);_(* \(#,##0\);_(* &quot;-&quot;??_);_(@_)"/>
    <numFmt numFmtId="170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i/>
      <u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9" fontId="0" fillId="0" borderId="0" xfId="0" applyNumberFormat="1"/>
    <xf numFmtId="0" fontId="0" fillId="0" borderId="0" xfId="0" applyFont="1"/>
    <xf numFmtId="8" fontId="0" fillId="0" borderId="0" xfId="0" applyNumberFormat="1"/>
    <xf numFmtId="165" fontId="0" fillId="0" borderId="0" xfId="0" applyNumberFormat="1"/>
    <xf numFmtId="16" fontId="0" fillId="0" borderId="0" xfId="0" quotePrefix="1" applyNumberFormat="1"/>
    <xf numFmtId="10" fontId="3" fillId="0" borderId="0" xfId="0" applyNumberFormat="1" applyFont="1"/>
    <xf numFmtId="164" fontId="0" fillId="0" borderId="0" xfId="2" applyNumberFormat="1" applyFont="1"/>
    <xf numFmtId="10" fontId="0" fillId="0" borderId="0" xfId="2" applyNumberFormat="1" applyFont="1"/>
    <xf numFmtId="166" fontId="0" fillId="0" borderId="0" xfId="2" applyNumberFormat="1" applyFont="1"/>
    <xf numFmtId="1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ont="1" applyFill="1"/>
    <xf numFmtId="0" fontId="5" fillId="2" borderId="0" xfId="0" applyFont="1" applyFill="1"/>
    <xf numFmtId="0" fontId="0" fillId="0" borderId="0" xfId="0" applyFill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/>
    <xf numFmtId="0" fontId="0" fillId="0" borderId="6" xfId="0" applyBorder="1"/>
    <xf numFmtId="167" fontId="0" fillId="0" borderId="0" xfId="1" applyNumberFormat="1" applyFont="1"/>
    <xf numFmtId="0" fontId="3" fillId="2" borderId="14" xfId="0" applyFont="1" applyFill="1" applyBorder="1"/>
    <xf numFmtId="0" fontId="3" fillId="2" borderId="15" xfId="0" applyFont="1" applyFill="1" applyBorder="1"/>
    <xf numFmtId="0" fontId="4" fillId="2" borderId="1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8" fillId="2" borderId="9" xfId="0" applyFont="1" applyFill="1" applyBorder="1"/>
    <xf numFmtId="0" fontId="8" fillId="2" borderId="10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8" fillId="2" borderId="12" xfId="0" applyFont="1" applyFill="1" applyBorder="1"/>
    <xf numFmtId="0" fontId="8" fillId="2" borderId="0" xfId="0" applyFont="1" applyFill="1" applyBorder="1"/>
    <xf numFmtId="0" fontId="8" fillId="2" borderId="13" xfId="0" applyFont="1" applyFill="1" applyBorder="1"/>
    <xf numFmtId="43" fontId="0" fillId="0" borderId="0" xfId="0" applyNumberFormat="1"/>
    <xf numFmtId="2" fontId="0" fillId="0" borderId="0" xfId="0" applyNumberFormat="1"/>
    <xf numFmtId="167" fontId="5" fillId="0" borderId="0" xfId="1" applyNumberFormat="1" applyFont="1"/>
    <xf numFmtId="167" fontId="0" fillId="0" borderId="0" xfId="0" applyNumberFormat="1"/>
    <xf numFmtId="0" fontId="4" fillId="0" borderId="0" xfId="1" applyNumberFormat="1" applyFont="1"/>
    <xf numFmtId="0" fontId="2" fillId="2" borderId="0" xfId="0" applyFont="1" applyFill="1"/>
    <xf numFmtId="166" fontId="0" fillId="0" borderId="0" xfId="0" applyNumberFormat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0" xfId="0" applyAlignment="1"/>
    <xf numFmtId="0" fontId="10" fillId="0" borderId="0" xfId="0" applyFont="1"/>
    <xf numFmtId="168" fontId="0" fillId="0" borderId="0" xfId="1" applyNumberFormat="1" applyFont="1"/>
    <xf numFmtId="0" fontId="11" fillId="2" borderId="19" xfId="0" applyFont="1" applyFill="1" applyBorder="1"/>
    <xf numFmtId="0" fontId="11" fillId="2" borderId="20" xfId="0" applyFont="1" applyFill="1" applyBorder="1"/>
    <xf numFmtId="0" fontId="11" fillId="2" borderId="2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" xfId="0" applyFont="1" applyFill="1" applyBorder="1"/>
    <xf numFmtId="167" fontId="4" fillId="0" borderId="0" xfId="1" applyNumberFormat="1" applyFont="1"/>
    <xf numFmtId="167" fontId="1" fillId="0" borderId="0" xfId="1" applyNumberFormat="1" applyFont="1"/>
    <xf numFmtId="167" fontId="13" fillId="0" borderId="0" xfId="1" applyNumberFormat="1" applyFont="1"/>
    <xf numFmtId="43" fontId="0" fillId="0" borderId="0" xfId="1" applyNumberFormat="1" applyFont="1"/>
    <xf numFmtId="167" fontId="5" fillId="0" borderId="0" xfId="0" applyNumberFormat="1" applyFont="1"/>
    <xf numFmtId="43" fontId="5" fillId="0" borderId="0" xfId="0" applyNumberFormat="1" applyFont="1"/>
    <xf numFmtId="9" fontId="0" fillId="0" borderId="0" xfId="2" applyFont="1"/>
    <xf numFmtId="170" fontId="0" fillId="0" borderId="0" xfId="0" applyNumberFormat="1"/>
    <xf numFmtId="170" fontId="5" fillId="0" borderId="0" xfId="0" applyNumberFormat="1" applyFont="1"/>
    <xf numFmtId="0" fontId="8" fillId="0" borderId="0" xfId="0" applyFont="1"/>
    <xf numFmtId="166" fontId="3" fillId="0" borderId="0" xfId="0" applyNumberFormat="1" applyFont="1"/>
    <xf numFmtId="0" fontId="0" fillId="0" borderId="0" xfId="0" quotePrefix="1"/>
    <xf numFmtId="164" fontId="0" fillId="0" borderId="0" xfId="0" applyNumberFormat="1"/>
    <xf numFmtId="8" fontId="5" fillId="0" borderId="0" xfId="0" applyNumberFormat="1" applyFont="1"/>
    <xf numFmtId="0" fontId="4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666400</xdr:colOff>
      <xdr:row>32</xdr:row>
      <xdr:rowOff>151619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00000" cy="62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237296</xdr:colOff>
      <xdr:row>18</xdr:row>
      <xdr:rowOff>132905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28571" cy="35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5</xdr:col>
      <xdr:colOff>37461</xdr:colOff>
      <xdr:row>59</xdr:row>
      <xdr:rowOff>161786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68000"/>
          <a:ext cx="5114286" cy="11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5</xdr:col>
      <xdr:colOff>608889</xdr:colOff>
      <xdr:row>92</xdr:row>
      <xdr:rowOff>8762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811000"/>
          <a:ext cx="5685714" cy="61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U94"/>
  <sheetViews>
    <sheetView tabSelected="1" topLeftCell="A5" workbookViewId="0">
      <selection activeCell="E26" sqref="E26"/>
    </sheetView>
  </sheetViews>
  <sheetFormatPr defaultRowHeight="15" x14ac:dyDescent="0.25"/>
  <cols>
    <col min="1" max="1" width="6.5703125" customWidth="1"/>
    <col min="2" max="2" width="12" customWidth="1"/>
    <col min="3" max="4" width="13.42578125" customWidth="1"/>
    <col min="5" max="5" width="17.85546875" customWidth="1"/>
    <col min="6" max="6" width="15.85546875" bestFit="1" customWidth="1"/>
    <col min="7" max="7" width="18.5703125" bestFit="1" customWidth="1"/>
    <col min="9" max="9" width="5.5703125" bestFit="1" customWidth="1"/>
    <col min="10" max="11" width="13.42578125" customWidth="1"/>
    <col min="12" max="12" width="17.85546875" customWidth="1"/>
    <col min="13" max="13" width="15.85546875" bestFit="1" customWidth="1"/>
    <col min="14" max="14" width="18.5703125" bestFit="1" customWidth="1"/>
    <col min="16" max="16" width="6.85546875" customWidth="1"/>
    <col min="17" max="18" width="13.42578125" customWidth="1"/>
    <col min="19" max="19" width="17.85546875" customWidth="1"/>
    <col min="20" max="20" width="15.85546875" bestFit="1" customWidth="1"/>
    <col min="21" max="21" width="18.5703125" bestFit="1" customWidth="1"/>
  </cols>
  <sheetData>
    <row r="35" spans="1:21" s="64" customFormat="1" x14ac:dyDescent="0.25">
      <c r="B35" s="64" t="s">
        <v>151</v>
      </c>
      <c r="I35" s="64" t="s">
        <v>136</v>
      </c>
      <c r="P35" s="64" t="s">
        <v>253</v>
      </c>
    </row>
    <row r="36" spans="1:21" s="64" customFormat="1" x14ac:dyDescent="0.25">
      <c r="B36" s="64" t="s">
        <v>43</v>
      </c>
      <c r="C36" s="64" t="s">
        <v>251</v>
      </c>
      <c r="D36" s="64" t="s">
        <v>252</v>
      </c>
      <c r="E36" s="64" t="s">
        <v>258</v>
      </c>
      <c r="F36" s="64" t="s">
        <v>257</v>
      </c>
      <c r="G36" s="64" t="s">
        <v>259</v>
      </c>
      <c r="I36" s="64" t="s">
        <v>43</v>
      </c>
      <c r="J36" s="64" t="s">
        <v>251</v>
      </c>
      <c r="K36" s="64" t="s">
        <v>252</v>
      </c>
      <c r="L36" s="64" t="s">
        <v>258</v>
      </c>
      <c r="M36" s="64" t="s">
        <v>257</v>
      </c>
      <c r="N36" s="64" t="s">
        <v>259</v>
      </c>
      <c r="P36" s="64" t="s">
        <v>43</v>
      </c>
      <c r="Q36" s="64" t="s">
        <v>251</v>
      </c>
      <c r="R36" s="64" t="s">
        <v>252</v>
      </c>
      <c r="S36" s="64" t="s">
        <v>258</v>
      </c>
      <c r="T36" s="64" t="s">
        <v>257</v>
      </c>
      <c r="U36" s="64" t="s">
        <v>259</v>
      </c>
    </row>
    <row r="37" spans="1:21" s="64" customFormat="1" x14ac:dyDescent="0.25">
      <c r="A37" s="64">
        <v>2002</v>
      </c>
      <c r="B37" s="64">
        <v>77</v>
      </c>
      <c r="C37" s="64">
        <v>33</v>
      </c>
      <c r="D37" s="64">
        <v>18</v>
      </c>
      <c r="E37" s="64">
        <f>C37/B37*100</f>
        <v>42.857142857142854</v>
      </c>
      <c r="F37" s="10">
        <f>(C40/C37)^(1/3)-1</f>
        <v>0</v>
      </c>
      <c r="G37" s="10">
        <f>(B40/B37)^(1/3)-1</f>
        <v>8.0008075997068051E-2</v>
      </c>
      <c r="I37" s="64">
        <v>95</v>
      </c>
      <c r="J37" s="64">
        <v>38</v>
      </c>
      <c r="K37" s="64">
        <v>30</v>
      </c>
      <c r="L37" s="64">
        <f>J37/I37*100</f>
        <v>40</v>
      </c>
      <c r="M37" s="10">
        <f>(J40/J37)^(1/3)-1</f>
        <v>8.0983869874452274E-2</v>
      </c>
      <c r="N37" s="10">
        <f>(I40/I37)^(1/3)-1</f>
        <v>8.0983869874452274E-2</v>
      </c>
      <c r="P37" s="64">
        <v>75</v>
      </c>
      <c r="Q37" s="64">
        <v>35</v>
      </c>
      <c r="R37" s="64">
        <v>37</v>
      </c>
      <c r="S37" s="64">
        <f>Q37/P37*100</f>
        <v>46.666666666666664</v>
      </c>
      <c r="T37" s="10">
        <f>(Q40/Q37)^(1/3)-1</f>
        <v>6.2658569182611146E-2</v>
      </c>
      <c r="U37" s="10">
        <f>(P40/P37)^(1/3)-1</f>
        <v>0.20736214735953729</v>
      </c>
    </row>
    <row r="38" spans="1:21" s="64" customFormat="1" x14ac:dyDescent="0.25">
      <c r="A38" s="64">
        <f>A37+1</f>
        <v>2003</v>
      </c>
      <c r="B38" s="64">
        <v>80</v>
      </c>
      <c r="C38" s="64">
        <v>33</v>
      </c>
      <c r="D38" s="64">
        <v>29</v>
      </c>
      <c r="E38" s="64">
        <f t="shared" ref="E38:E40" si="0">C38/B38*100</f>
        <v>41.25</v>
      </c>
      <c r="I38" s="64">
        <v>-10</v>
      </c>
      <c r="J38" s="64">
        <v>15</v>
      </c>
      <c r="K38" s="64">
        <v>14</v>
      </c>
      <c r="L38" s="64">
        <f t="shared" ref="L38:L40" si="1">J38/I38*100</f>
        <v>-150</v>
      </c>
      <c r="P38" s="64">
        <v>88</v>
      </c>
      <c r="Q38" s="64">
        <v>17</v>
      </c>
      <c r="R38" s="64">
        <v>64</v>
      </c>
      <c r="S38" s="64">
        <f t="shared" ref="S38:S40" si="2">Q38/P38*100</f>
        <v>19.318181818181817</v>
      </c>
    </row>
    <row r="39" spans="1:21" s="64" customFormat="1" x14ac:dyDescent="0.25">
      <c r="A39" s="64">
        <f t="shared" ref="A39:A40" si="3">A38+1</f>
        <v>2004</v>
      </c>
      <c r="B39" s="64">
        <v>94</v>
      </c>
      <c r="C39" s="64">
        <v>33</v>
      </c>
      <c r="D39" s="64">
        <v>23</v>
      </c>
      <c r="E39" s="64">
        <f t="shared" si="0"/>
        <v>35.106382978723403</v>
      </c>
      <c r="I39" s="64">
        <v>110</v>
      </c>
      <c r="J39" s="64">
        <v>44</v>
      </c>
      <c r="K39" s="64">
        <v>42</v>
      </c>
      <c r="L39" s="64">
        <f t="shared" si="1"/>
        <v>40</v>
      </c>
      <c r="P39" s="64">
        <v>118</v>
      </c>
      <c r="Q39" s="64">
        <v>39</v>
      </c>
      <c r="R39" s="64">
        <v>75</v>
      </c>
      <c r="S39" s="64">
        <f t="shared" si="2"/>
        <v>33.050847457627121</v>
      </c>
    </row>
    <row r="40" spans="1:21" s="64" customFormat="1" x14ac:dyDescent="0.25">
      <c r="A40" s="64">
        <f t="shared" si="3"/>
        <v>2005</v>
      </c>
      <c r="B40" s="64">
        <v>97</v>
      </c>
      <c r="C40" s="64">
        <v>33</v>
      </c>
      <c r="D40" s="65">
        <v>21</v>
      </c>
      <c r="E40" s="64">
        <f t="shared" si="0"/>
        <v>34.020618556701031</v>
      </c>
      <c r="I40" s="64">
        <v>120</v>
      </c>
      <c r="J40" s="64">
        <v>48</v>
      </c>
      <c r="K40" s="64">
        <v>29</v>
      </c>
      <c r="L40" s="64">
        <f t="shared" si="1"/>
        <v>40</v>
      </c>
      <c r="P40" s="64">
        <v>132</v>
      </c>
      <c r="Q40" s="64">
        <v>42</v>
      </c>
      <c r="R40" s="64">
        <v>84</v>
      </c>
      <c r="S40" s="64">
        <f t="shared" si="2"/>
        <v>31.818181818181817</v>
      </c>
    </row>
    <row r="41" spans="1:21" x14ac:dyDescent="0.25">
      <c r="D41" s="64">
        <f>SUM(D37:D40)</f>
        <v>91</v>
      </c>
      <c r="K41" s="64">
        <f>SUM(K37:K40)</f>
        <v>115</v>
      </c>
      <c r="R41" s="64">
        <f>SUM(R37:R40)</f>
        <v>260</v>
      </c>
    </row>
    <row r="42" spans="1:21" x14ac:dyDescent="0.25">
      <c r="A42" t="s">
        <v>254</v>
      </c>
      <c r="B42" s="4">
        <v>0.11</v>
      </c>
      <c r="I42" s="4">
        <v>0.14000000000000001</v>
      </c>
      <c r="P42" s="4">
        <v>0.12</v>
      </c>
    </row>
    <row r="43" spans="1:21" x14ac:dyDescent="0.25">
      <c r="A43" t="s">
        <v>255</v>
      </c>
      <c r="B43">
        <v>608</v>
      </c>
      <c r="I43">
        <v>1042</v>
      </c>
      <c r="P43">
        <v>1164</v>
      </c>
    </row>
    <row r="44" spans="1:21" x14ac:dyDescent="0.25">
      <c r="A44" t="s">
        <v>256</v>
      </c>
      <c r="B44" s="4">
        <v>0.01</v>
      </c>
      <c r="I44" s="4">
        <v>0.05</v>
      </c>
      <c r="P44" s="4">
        <v>0.1</v>
      </c>
    </row>
    <row r="46" spans="1:21" s="64" customFormat="1" x14ac:dyDescent="0.25">
      <c r="A46" s="64" t="s">
        <v>260</v>
      </c>
      <c r="B46" s="64">
        <f>C40/B42</f>
        <v>300</v>
      </c>
      <c r="I46" s="64" t="s">
        <v>260</v>
      </c>
      <c r="J46" s="64">
        <f>(J40*(1+M37))/(I42-M37)</f>
        <v>879.20413696376932</v>
      </c>
      <c r="P46" s="64" t="s">
        <v>260</v>
      </c>
      <c r="Q46" s="64">
        <f>(Q40*(1+T37))/(P42-T37)</f>
        <v>778.34925409874961</v>
      </c>
    </row>
    <row r="49" spans="1:6" x14ac:dyDescent="0.25">
      <c r="C49" t="s">
        <v>151</v>
      </c>
      <c r="D49" t="s">
        <v>136</v>
      </c>
      <c r="E49" t="s">
        <v>253</v>
      </c>
    </row>
    <row r="50" spans="1:6" x14ac:dyDescent="0.25">
      <c r="A50" t="s">
        <v>136</v>
      </c>
      <c r="C50" s="64">
        <f>B46</f>
        <v>300</v>
      </c>
      <c r="D50" s="64">
        <f>J46</f>
        <v>879.20413696376932</v>
      </c>
      <c r="E50" s="64">
        <f>Q46</f>
        <v>778.34925409874961</v>
      </c>
    </row>
    <row r="51" spans="1:6" x14ac:dyDescent="0.25">
      <c r="A51" t="str">
        <f>A43</f>
        <v>Mkt cap</v>
      </c>
      <c r="C51">
        <f>B43</f>
        <v>608</v>
      </c>
      <c r="D51">
        <f>I43</f>
        <v>1042</v>
      </c>
      <c r="E51">
        <f>P43</f>
        <v>1164</v>
      </c>
      <c r="F51">
        <f>SUM(C51:E51)</f>
        <v>2814</v>
      </c>
    </row>
    <row r="52" spans="1:6" x14ac:dyDescent="0.25">
      <c r="A52" t="s">
        <v>261</v>
      </c>
      <c r="C52" s="63">
        <f>C51/$F$51</f>
        <v>0.21606254442075337</v>
      </c>
      <c r="D52" s="63">
        <f t="shared" ref="D52:E52" si="4">D51/$F$51</f>
        <v>0.3702914001421464</v>
      </c>
      <c r="E52" s="63">
        <f t="shared" si="4"/>
        <v>0.4136460554371002</v>
      </c>
    </row>
    <row r="53" spans="1:6" x14ac:dyDescent="0.25">
      <c r="C53" s="63">
        <f>C51/C50</f>
        <v>2.0266666666666668</v>
      </c>
      <c r="D53" s="63">
        <f t="shared" ref="D53:E53" si="5">D51/D50</f>
        <v>1.1851627582172526</v>
      </c>
      <c r="E53" s="63">
        <f t="shared" si="5"/>
        <v>1.4954726221814079</v>
      </c>
    </row>
    <row r="87" spans="1:4" x14ac:dyDescent="0.25">
      <c r="A87" s="1" t="s">
        <v>249</v>
      </c>
      <c r="B87" t="s">
        <v>175</v>
      </c>
      <c r="C87" t="s">
        <v>176</v>
      </c>
      <c r="D87" t="s">
        <v>151</v>
      </c>
    </row>
    <row r="94" spans="1:4" x14ac:dyDescent="0.25">
      <c r="A94" s="1" t="s">
        <v>250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8"/>
  <sheetViews>
    <sheetView workbookViewId="0">
      <selection activeCell="B25" sqref="B25"/>
    </sheetView>
  </sheetViews>
  <sheetFormatPr defaultRowHeight="15" x14ac:dyDescent="0.25"/>
  <cols>
    <col min="1" max="1" width="18.5703125" bestFit="1" customWidth="1"/>
    <col min="2" max="2" width="11.28515625" style="22" bestFit="1" customWidth="1"/>
    <col min="3" max="6" width="11.28515625" bestFit="1" customWidth="1"/>
    <col min="7" max="7" width="10.5703125" bestFit="1" customWidth="1"/>
    <col min="10" max="10" width="10.5703125" bestFit="1" customWidth="1"/>
  </cols>
  <sheetData>
    <row r="1" spans="1:4" x14ac:dyDescent="0.25">
      <c r="A1" t="s">
        <v>170</v>
      </c>
    </row>
    <row r="2" spans="1:4" x14ac:dyDescent="0.25">
      <c r="C2" t="s">
        <v>204</v>
      </c>
      <c r="D2" t="s">
        <v>205</v>
      </c>
    </row>
    <row r="3" spans="1:4" x14ac:dyDescent="0.25">
      <c r="A3" t="s">
        <v>210</v>
      </c>
      <c r="B3" s="22" t="str">
        <f t="shared" ref="B3:C5" si="0">A67</f>
        <v>Base Case NPV=</v>
      </c>
      <c r="C3" s="50">
        <f t="shared" si="0"/>
        <v>5263.7193799905945</v>
      </c>
      <c r="D3" s="50">
        <f t="shared" ref="D3:D5" si="1">B97</f>
        <v>5100</v>
      </c>
    </row>
    <row r="4" spans="1:4" x14ac:dyDescent="0.25">
      <c r="B4" s="22" t="str">
        <f t="shared" si="0"/>
        <v>Financing side effects</v>
      </c>
      <c r="C4" s="3">
        <f t="shared" si="0"/>
        <v>1625.1814006142822</v>
      </c>
      <c r="D4" s="61">
        <f t="shared" si="1"/>
        <v>1625.1814006142822</v>
      </c>
    </row>
    <row r="5" spans="1:4" x14ac:dyDescent="0.25">
      <c r="A5" t="s">
        <v>52</v>
      </c>
      <c r="C5" s="3">
        <f t="shared" si="0"/>
        <v>6888.9007806048767</v>
      </c>
      <c r="D5" s="61">
        <f t="shared" si="1"/>
        <v>6725.1814006142822</v>
      </c>
    </row>
    <row r="6" spans="1:4" x14ac:dyDescent="0.25">
      <c r="A6" t="s">
        <v>243</v>
      </c>
      <c r="C6" s="62">
        <f>B108</f>
        <v>3.0392102681293238</v>
      </c>
      <c r="D6" s="61">
        <v>2.4300000000000002</v>
      </c>
    </row>
    <row r="7" spans="1:4" x14ac:dyDescent="0.25">
      <c r="C7" s="3"/>
      <c r="D7" s="61"/>
    </row>
    <row r="8" spans="1:4" x14ac:dyDescent="0.25">
      <c r="A8" t="s">
        <v>171</v>
      </c>
    </row>
    <row r="9" spans="1:4" x14ac:dyDescent="0.25">
      <c r="A9" t="s">
        <v>172</v>
      </c>
      <c r="B9" s="22" t="s">
        <v>173</v>
      </c>
    </row>
    <row r="11" spans="1:4" x14ac:dyDescent="0.25">
      <c r="A11" s="48" t="s">
        <v>174</v>
      </c>
    </row>
    <row r="13" spans="1:4" x14ac:dyDescent="0.25">
      <c r="B13" s="22" t="s">
        <v>178</v>
      </c>
    </row>
    <row r="14" spans="1:4" x14ac:dyDescent="0.25">
      <c r="B14" s="22" t="s">
        <v>175</v>
      </c>
      <c r="C14" t="s">
        <v>176</v>
      </c>
    </row>
    <row r="15" spans="1:4" x14ac:dyDescent="0.25">
      <c r="A15" t="s">
        <v>177</v>
      </c>
      <c r="B15" s="22">
        <v>-50000</v>
      </c>
      <c r="C15">
        <v>-50000</v>
      </c>
    </row>
    <row r="17" spans="1:22" x14ac:dyDescent="0.25">
      <c r="A17" s="49" t="s">
        <v>206</v>
      </c>
    </row>
    <row r="18" spans="1:22" x14ac:dyDescent="0.25">
      <c r="B18" s="57">
        <v>0</v>
      </c>
      <c r="C18" s="2">
        <f>1+B18</f>
        <v>1</v>
      </c>
      <c r="D18" s="2">
        <f t="shared" ref="D18:F18" si="2">1+C18</f>
        <v>2</v>
      </c>
      <c r="E18" s="2">
        <f t="shared" si="2"/>
        <v>3</v>
      </c>
      <c r="F18" s="2">
        <f t="shared" si="2"/>
        <v>4</v>
      </c>
      <c r="J18" s="2" t="s">
        <v>184</v>
      </c>
      <c r="K18" s="2">
        <v>0</v>
      </c>
      <c r="L18" s="2">
        <f>1+K18</f>
        <v>1</v>
      </c>
      <c r="M18" s="2">
        <f t="shared" ref="M18:O18" si="3">1+L18</f>
        <v>2</v>
      </c>
      <c r="N18" s="2">
        <f t="shared" si="3"/>
        <v>3</v>
      </c>
      <c r="O18" s="2">
        <f t="shared" si="3"/>
        <v>4</v>
      </c>
    </row>
    <row r="19" spans="1:22" x14ac:dyDescent="0.25">
      <c r="J19" t="s">
        <v>180</v>
      </c>
      <c r="L19">
        <f>15750</f>
        <v>15750</v>
      </c>
      <c r="M19">
        <v>28350</v>
      </c>
      <c r="N19">
        <v>47250</v>
      </c>
      <c r="O19">
        <v>23100</v>
      </c>
    </row>
    <row r="20" spans="1:22" x14ac:dyDescent="0.25">
      <c r="A20" s="22" t="s">
        <v>183</v>
      </c>
      <c r="C20" s="22">
        <f>L21</f>
        <v>17325</v>
      </c>
      <c r="D20" s="22">
        <f t="shared" ref="D20:F20" si="4">M21</f>
        <v>34303.500000000007</v>
      </c>
      <c r="E20" s="22">
        <f t="shared" si="4"/>
        <v>62889.750000000022</v>
      </c>
      <c r="F20" s="22">
        <f t="shared" si="4"/>
        <v>33820.710000000006</v>
      </c>
      <c r="J20" t="s">
        <v>182</v>
      </c>
      <c r="L20" s="3">
        <f>1.1^L18</f>
        <v>1.1000000000000001</v>
      </c>
      <c r="M20" s="3">
        <f t="shared" ref="M20:O20" si="5">1.1^M18</f>
        <v>1.2100000000000002</v>
      </c>
      <c r="N20" s="3">
        <f t="shared" si="5"/>
        <v>1.3310000000000004</v>
      </c>
      <c r="O20" s="3">
        <f t="shared" si="5"/>
        <v>1.4641000000000004</v>
      </c>
    </row>
    <row r="21" spans="1:22" x14ac:dyDescent="0.25">
      <c r="A21" s="22" t="s">
        <v>187</v>
      </c>
      <c r="C21" s="22">
        <f>L27</f>
        <v>-6364.8</v>
      </c>
      <c r="D21" s="22">
        <f t="shared" ref="D21:F21" si="6">M27</f>
        <v>-11583.936000000002</v>
      </c>
      <c r="E21" s="22">
        <f t="shared" si="6"/>
        <v>-24094.586880000003</v>
      </c>
      <c r="F21" s="22">
        <f t="shared" si="6"/>
        <v>-9546.045849600001</v>
      </c>
      <c r="H21" t="s">
        <v>203</v>
      </c>
      <c r="J21" t="s">
        <v>181</v>
      </c>
      <c r="L21">
        <f>L19*L20</f>
        <v>17325</v>
      </c>
      <c r="M21">
        <f t="shared" ref="M21:O21" si="7">M19*M20</f>
        <v>34303.500000000007</v>
      </c>
      <c r="N21">
        <f t="shared" si="7"/>
        <v>62889.750000000022</v>
      </c>
      <c r="O21">
        <f t="shared" si="7"/>
        <v>33820.710000000006</v>
      </c>
    </row>
    <row r="22" spans="1:22" x14ac:dyDescent="0.25">
      <c r="A22" s="22" t="s">
        <v>188</v>
      </c>
      <c r="C22" s="22">
        <f>L38</f>
        <v>-3707.2941176470586</v>
      </c>
      <c r="D22" s="22">
        <f t="shared" ref="D22:F22" si="8">M38</f>
        <v>-5669.9792387543248</v>
      </c>
      <c r="E22" s="22">
        <f t="shared" si="8"/>
        <v>-11883.485899088586</v>
      </c>
      <c r="F22" s="22">
        <f t="shared" si="8"/>
        <v>-4584.6198911163165</v>
      </c>
    </row>
    <row r="23" spans="1:22" x14ac:dyDescent="0.25">
      <c r="A23" s="22" t="s">
        <v>199</v>
      </c>
      <c r="C23" s="37">
        <f>B28*0.25</f>
        <v>-12500</v>
      </c>
      <c r="D23" s="37">
        <f>C23*0.75</f>
        <v>-9375</v>
      </c>
      <c r="E23" s="37">
        <f t="shared" ref="E23" si="9">D23*0.75</f>
        <v>-7031.25</v>
      </c>
      <c r="F23" s="37">
        <f>-K45</f>
        <v>-11093.75</v>
      </c>
      <c r="Q23" s="2" t="s">
        <v>201</v>
      </c>
      <c r="R23" s="2">
        <v>0</v>
      </c>
      <c r="S23" s="2">
        <f>1+R23</f>
        <v>1</v>
      </c>
      <c r="T23" s="2">
        <f t="shared" ref="T23:V23" si="10">1+S23</f>
        <v>2</v>
      </c>
      <c r="U23" s="2">
        <f t="shared" si="10"/>
        <v>3</v>
      </c>
      <c r="V23" s="2">
        <f t="shared" si="10"/>
        <v>4</v>
      </c>
    </row>
    <row r="24" spans="1:22" x14ac:dyDescent="0.25">
      <c r="A24" s="22" t="s">
        <v>45</v>
      </c>
      <c r="C24" s="37">
        <f>SUM(C20:C23)</f>
        <v>-5247.0941176470578</v>
      </c>
      <c r="D24" s="37">
        <f t="shared" ref="D24:F24" si="11">SUM(D20:D23)</f>
        <v>7674.5847612456819</v>
      </c>
      <c r="E24" s="37">
        <f t="shared" si="11"/>
        <v>19880.427220911435</v>
      </c>
      <c r="F24" s="37">
        <f t="shared" si="11"/>
        <v>8596.2942592836916</v>
      </c>
      <c r="J24" s="2" t="s">
        <v>30</v>
      </c>
      <c r="Q24" t="s">
        <v>145</v>
      </c>
      <c r="S24">
        <f>C20</f>
        <v>17325</v>
      </c>
      <c r="T24">
        <f t="shared" ref="T24:V24" si="12">D20</f>
        <v>34303.500000000007</v>
      </c>
      <c r="U24">
        <f t="shared" si="12"/>
        <v>62889.750000000022</v>
      </c>
      <c r="V24">
        <f t="shared" si="12"/>
        <v>33820.710000000006</v>
      </c>
    </row>
    <row r="25" spans="1:22" x14ac:dyDescent="0.25">
      <c r="A25" s="22" t="s">
        <v>43</v>
      </c>
      <c r="C25" s="22">
        <f>C24*(1-$B$33)</f>
        <v>-4197.6752941176464</v>
      </c>
      <c r="D25" s="22">
        <f t="shared" ref="D25:F25" si="13">D24*(1-$B$33)</f>
        <v>6139.6678089965462</v>
      </c>
      <c r="E25" s="22">
        <f t="shared" si="13"/>
        <v>15904.341776729148</v>
      </c>
      <c r="F25" s="22">
        <f t="shared" si="13"/>
        <v>6877.0354074269535</v>
      </c>
      <c r="J25" t="s">
        <v>179</v>
      </c>
      <c r="L25">
        <v>-6120</v>
      </c>
      <c r="M25">
        <v>-10710</v>
      </c>
      <c r="N25">
        <v>-21420</v>
      </c>
      <c r="O25">
        <v>-8160</v>
      </c>
      <c r="Q25" t="s">
        <v>106</v>
      </c>
      <c r="T25">
        <f>T24-S24</f>
        <v>16978.500000000007</v>
      </c>
      <c r="U25">
        <f t="shared" ref="U25" si="14">U24-T24</f>
        <v>28586.250000000015</v>
      </c>
      <c r="V25">
        <f>V24-U24</f>
        <v>-29069.040000000015</v>
      </c>
    </row>
    <row r="26" spans="1:22" x14ac:dyDescent="0.25">
      <c r="A26" s="22"/>
      <c r="C26" s="22"/>
      <c r="D26" s="22"/>
      <c r="E26" s="22"/>
      <c r="F26" s="22"/>
      <c r="J26" t="s">
        <v>185</v>
      </c>
      <c r="L26" s="3">
        <f>(1+4%)^L18</f>
        <v>1.04</v>
      </c>
      <c r="M26" s="3">
        <f t="shared" ref="M26:O26" si="15">(1+4%)^M18</f>
        <v>1.0816000000000001</v>
      </c>
      <c r="N26" s="3">
        <f t="shared" si="15"/>
        <v>1.1248640000000001</v>
      </c>
      <c r="O26" s="3">
        <f t="shared" si="15"/>
        <v>1.1698585600000002</v>
      </c>
      <c r="Q26" t="s">
        <v>202</v>
      </c>
      <c r="T26">
        <f>-0.15*T25</f>
        <v>-2546.775000000001</v>
      </c>
      <c r="U26">
        <f t="shared" ref="U26:V26" si="16">-0.15*U25</f>
        <v>-4287.9375000000018</v>
      </c>
      <c r="V26">
        <f t="shared" si="16"/>
        <v>4360.3560000000025</v>
      </c>
    </row>
    <row r="27" spans="1:22" x14ac:dyDescent="0.25">
      <c r="A27" s="22" t="s">
        <v>200</v>
      </c>
      <c r="B27" s="22">
        <f>-0.1*C20</f>
        <v>-1732.5</v>
      </c>
      <c r="C27" s="22">
        <f>T26</f>
        <v>-2546.775000000001</v>
      </c>
      <c r="D27" s="22">
        <f>U26</f>
        <v>-4287.9375000000018</v>
      </c>
      <c r="E27" s="22">
        <f>V26</f>
        <v>4360.3560000000025</v>
      </c>
      <c r="F27" s="22">
        <f>-SUM(B27:E27)</f>
        <v>4206.8565000000008</v>
      </c>
      <c r="J27" t="s">
        <v>186</v>
      </c>
      <c r="L27">
        <f>L25*L26</f>
        <v>-6364.8</v>
      </c>
      <c r="M27">
        <f t="shared" ref="M27:O27" si="17">M25*M26</f>
        <v>-11583.936000000002</v>
      </c>
      <c r="N27">
        <f t="shared" si="17"/>
        <v>-24094.586880000003</v>
      </c>
      <c r="O27">
        <f t="shared" si="17"/>
        <v>-9546.045849600001</v>
      </c>
    </row>
    <row r="28" spans="1:22" x14ac:dyDescent="0.25">
      <c r="A28" s="22" t="s">
        <v>9</v>
      </c>
      <c r="B28" s="22">
        <v>-50000</v>
      </c>
      <c r="C28" s="22"/>
      <c r="D28" s="22"/>
      <c r="E28" s="22"/>
      <c r="F28" s="22">
        <v>10000</v>
      </c>
    </row>
    <row r="29" spans="1:22" x14ac:dyDescent="0.25">
      <c r="A29" s="22" t="s">
        <v>198</v>
      </c>
      <c r="B29" s="37"/>
      <c r="C29" s="37">
        <f>-C23</f>
        <v>12500</v>
      </c>
      <c r="D29" s="37">
        <f>-D23</f>
        <v>9375</v>
      </c>
      <c r="E29" s="37">
        <f>-E23</f>
        <v>7031.25</v>
      </c>
      <c r="F29" s="37">
        <f>-F23</f>
        <v>11093.75</v>
      </c>
      <c r="J29" s="2" t="s">
        <v>57</v>
      </c>
    </row>
    <row r="30" spans="1:22" x14ac:dyDescent="0.25">
      <c r="A30" s="22" t="s">
        <v>68</v>
      </c>
      <c r="B30" s="22">
        <f>SUM(B25:B29)</f>
        <v>-51732.5</v>
      </c>
      <c r="C30" s="22">
        <f t="shared" ref="C30:F30" si="18">SUM(C25:C29)</f>
        <v>5755.549705882353</v>
      </c>
      <c r="D30" s="22">
        <f t="shared" si="18"/>
        <v>11226.730308996544</v>
      </c>
      <c r="E30" s="22">
        <f t="shared" si="18"/>
        <v>27295.94777672915</v>
      </c>
      <c r="F30" s="22">
        <f t="shared" si="18"/>
        <v>32177.641907426954</v>
      </c>
      <c r="J30" t="str">
        <f>J26</f>
        <v>Y inf rate</v>
      </c>
      <c r="K30" s="4">
        <v>0.04</v>
      </c>
    </row>
    <row r="31" spans="1:22" x14ac:dyDescent="0.25">
      <c r="A31" s="22" t="s">
        <v>246</v>
      </c>
      <c r="C31">
        <f>C30/(1+0.1)^C18</f>
        <v>5232.3179144385022</v>
      </c>
      <c r="D31">
        <f t="shared" ref="D31:F31" si="19">D30/(1+0.1)^D18</f>
        <v>9278.2895115673909</v>
      </c>
      <c r="E31">
        <f t="shared" si="19"/>
        <v>20507.849569293121</v>
      </c>
      <c r="F31">
        <f t="shared" si="19"/>
        <v>21977.762384691581</v>
      </c>
      <c r="J31" t="s">
        <v>192</v>
      </c>
      <c r="K31" s="4">
        <v>0.02</v>
      </c>
    </row>
    <row r="32" spans="1:22" x14ac:dyDescent="0.25">
      <c r="A32" t="s">
        <v>131</v>
      </c>
      <c r="B32" s="22">
        <v>0.1</v>
      </c>
      <c r="K32" s="2">
        <v>0</v>
      </c>
      <c r="L32" s="2">
        <f>1+K32</f>
        <v>1</v>
      </c>
      <c r="M32" s="2">
        <f t="shared" ref="M32:O32" si="20">1+L32</f>
        <v>2</v>
      </c>
      <c r="N32" s="2">
        <f t="shared" si="20"/>
        <v>3</v>
      </c>
      <c r="O32" s="2">
        <f t="shared" si="20"/>
        <v>4</v>
      </c>
    </row>
    <row r="33" spans="1:15" x14ac:dyDescent="0.25">
      <c r="A33" t="s">
        <v>156</v>
      </c>
      <c r="B33" s="22">
        <v>0.2</v>
      </c>
      <c r="J33" t="s">
        <v>190</v>
      </c>
      <c r="K33">
        <v>3.03</v>
      </c>
      <c r="L33">
        <f>K33*(1+$K$30)</f>
        <v>3.1511999999999998</v>
      </c>
      <c r="M33">
        <f>L33*(1+$K$30)</f>
        <v>3.2772479999999997</v>
      </c>
      <c r="N33">
        <f>M33*(1+$K$30)</f>
        <v>3.4083379199999997</v>
      </c>
      <c r="O33">
        <f>N33*(1+$K$30)</f>
        <v>3.5446714367999999</v>
      </c>
    </row>
    <row r="34" spans="1:15" x14ac:dyDescent="0.25">
      <c r="J34" t="s">
        <v>191</v>
      </c>
      <c r="K34" s="3">
        <v>1</v>
      </c>
      <c r="L34" s="3">
        <f>K34*(1+$K$31)</f>
        <v>1.02</v>
      </c>
      <c r="M34" s="3">
        <f t="shared" ref="M34:O34" si="21">L34*(1+$K$31)</f>
        <v>1.0404</v>
      </c>
      <c r="N34" s="3">
        <f t="shared" si="21"/>
        <v>1.0612079999999999</v>
      </c>
      <c r="O34" s="3">
        <f t="shared" si="21"/>
        <v>1.08243216</v>
      </c>
    </row>
    <row r="35" spans="1:15" x14ac:dyDescent="0.25">
      <c r="A35" t="s">
        <v>195</v>
      </c>
      <c r="B35" s="22">
        <f>NPV(B32,C30:F30)+B30</f>
        <v>5263.7193799905945</v>
      </c>
      <c r="J35" t="s">
        <v>189</v>
      </c>
      <c r="K35">
        <f>K33/K34</f>
        <v>3.03</v>
      </c>
      <c r="L35">
        <f>L33/L34</f>
        <v>3.0894117647058823</v>
      </c>
      <c r="M35">
        <f>M33/M34</f>
        <v>3.1499884659746251</v>
      </c>
      <c r="N35">
        <f>N33/N34</f>
        <v>3.2117529456996179</v>
      </c>
      <c r="O35">
        <f>O33/O34</f>
        <v>3.274728493654512</v>
      </c>
    </row>
    <row r="37" spans="1:15" x14ac:dyDescent="0.25">
      <c r="A37" s="2"/>
      <c r="J37" t="s">
        <v>193</v>
      </c>
      <c r="L37">
        <v>1200</v>
      </c>
      <c r="M37">
        <v>1800</v>
      </c>
      <c r="N37">
        <v>3700</v>
      </c>
      <c r="O37">
        <v>1400</v>
      </c>
    </row>
    <row r="38" spans="1:15" x14ac:dyDescent="0.25">
      <c r="J38" t="s">
        <v>194</v>
      </c>
      <c r="L38">
        <f>-L37*L35</f>
        <v>-3707.2941176470586</v>
      </c>
      <c r="M38">
        <f t="shared" ref="M38:O38" si="22">-M37*M35</f>
        <v>-5669.9792387543248</v>
      </c>
      <c r="N38">
        <f t="shared" si="22"/>
        <v>-11883.485899088586</v>
      </c>
      <c r="O38">
        <f t="shared" si="22"/>
        <v>-4584.6198911163165</v>
      </c>
    </row>
    <row r="40" spans="1:15" x14ac:dyDescent="0.25">
      <c r="J40" s="2" t="s">
        <v>58</v>
      </c>
    </row>
    <row r="41" spans="1:15" x14ac:dyDescent="0.25">
      <c r="K41">
        <f>SUM(C23:E23)</f>
        <v>-28906.25</v>
      </c>
    </row>
    <row r="42" spans="1:15" x14ac:dyDescent="0.25">
      <c r="K42" s="3">
        <f>-B28</f>
        <v>50000</v>
      </c>
    </row>
    <row r="43" spans="1:15" x14ac:dyDescent="0.25">
      <c r="K43">
        <f>SUM(K41:K42)</f>
        <v>21093.75</v>
      </c>
    </row>
    <row r="44" spans="1:15" x14ac:dyDescent="0.25">
      <c r="J44" t="s">
        <v>197</v>
      </c>
      <c r="K44" s="3">
        <f>-F28</f>
        <v>-10000</v>
      </c>
    </row>
    <row r="45" spans="1:15" x14ac:dyDescent="0.25">
      <c r="K45">
        <f>SUM(K43:K44)</f>
        <v>11093.75</v>
      </c>
    </row>
    <row r="48" spans="1:15" x14ac:dyDescent="0.25">
      <c r="J48" s="2" t="s">
        <v>201</v>
      </c>
    </row>
    <row r="49" spans="1:13" x14ac:dyDescent="0.25">
      <c r="A49" t="s">
        <v>211</v>
      </c>
      <c r="B49" s="22" t="s">
        <v>173</v>
      </c>
      <c r="C49" t="s">
        <v>136</v>
      </c>
    </row>
    <row r="50" spans="1:13" x14ac:dyDescent="0.25">
      <c r="A50" t="s">
        <v>212</v>
      </c>
      <c r="B50" s="22">
        <v>50000</v>
      </c>
      <c r="J50" t="s">
        <v>173</v>
      </c>
      <c r="K50" t="s">
        <v>173</v>
      </c>
    </row>
    <row r="51" spans="1:13" x14ac:dyDescent="0.25">
      <c r="A51" t="s">
        <v>229</v>
      </c>
      <c r="B51" s="58">
        <f>-D80</f>
        <v>-25461.999999999996</v>
      </c>
      <c r="C51" s="1">
        <v>10000</v>
      </c>
      <c r="J51" t="s">
        <v>213</v>
      </c>
      <c r="K51" t="s">
        <v>214</v>
      </c>
      <c r="L51" t="s">
        <v>136</v>
      </c>
    </row>
    <row r="52" spans="1:13" x14ac:dyDescent="0.25">
      <c r="A52" t="s">
        <v>238</v>
      </c>
      <c r="B52" s="22">
        <f>SUM(B50:B51)</f>
        <v>24538.000000000004</v>
      </c>
      <c r="J52">
        <v>2.5209999999999999</v>
      </c>
      <c r="K52">
        <v>2.5861999999999998</v>
      </c>
      <c r="L52">
        <v>1</v>
      </c>
    </row>
    <row r="55" spans="1:13" x14ac:dyDescent="0.25">
      <c r="M55" t="s">
        <v>239</v>
      </c>
    </row>
    <row r="56" spans="1:13" x14ac:dyDescent="0.25">
      <c r="J56" s="2" t="s">
        <v>230</v>
      </c>
      <c r="M56" t="s">
        <v>236</v>
      </c>
    </row>
    <row r="57" spans="1:13" ht="15.75" thickBot="1" x14ac:dyDescent="0.3">
      <c r="J57" t="s">
        <v>224</v>
      </c>
      <c r="K57" s="13">
        <v>2.1000000000000001E-2</v>
      </c>
      <c r="M57">
        <f>((1-(1+0.05)^-4)/0.05)</f>
        <v>3.5459505041623607</v>
      </c>
    </row>
    <row r="58" spans="1:13" ht="15.75" thickBot="1" x14ac:dyDescent="0.3">
      <c r="A58" t="s">
        <v>231</v>
      </c>
      <c r="B58" s="22">
        <f>K60*B52*M57</f>
        <v>2018.6443765303559</v>
      </c>
      <c r="D58" s="54" t="s">
        <v>237</v>
      </c>
      <c r="E58" s="55"/>
      <c r="F58" s="55"/>
      <c r="G58" s="56"/>
      <c r="J58" t="s">
        <v>225</v>
      </c>
      <c r="K58" s="4">
        <v>0.05</v>
      </c>
    </row>
    <row r="59" spans="1:13" ht="15.75" thickBot="1" x14ac:dyDescent="0.3">
      <c r="A59" t="s">
        <v>232</v>
      </c>
      <c r="B59" s="22">
        <f>K57*B52*0.2*M57</f>
        <v>365.44424057877131</v>
      </c>
      <c r="J59" t="s">
        <v>226</v>
      </c>
      <c r="K59" s="41">
        <f>K58-K57</f>
        <v>2.9000000000000001E-2</v>
      </c>
    </row>
    <row r="60" spans="1:13" ht="15.75" thickBot="1" x14ac:dyDescent="0.3">
      <c r="A60" t="s">
        <v>240</v>
      </c>
      <c r="B60" s="22">
        <f>-J65</f>
        <v>-758.90721649484476</v>
      </c>
      <c r="C60" s="54" t="s">
        <v>241</v>
      </c>
      <c r="D60" s="55"/>
      <c r="E60" s="56"/>
      <c r="J60" t="s">
        <v>227</v>
      </c>
      <c r="K60">
        <f>K59*0.8</f>
        <v>2.3200000000000002E-2</v>
      </c>
    </row>
    <row r="62" spans="1:13" x14ac:dyDescent="0.25">
      <c r="B62" s="22">
        <f>SUM(B58:B61)</f>
        <v>1625.1814006142822</v>
      </c>
      <c r="J62" s="2" t="s">
        <v>233</v>
      </c>
    </row>
    <row r="63" spans="1:13" x14ac:dyDescent="0.25">
      <c r="I63" t="s">
        <v>234</v>
      </c>
      <c r="J63" s="35">
        <f>B52/97*100</f>
        <v>25296.907216494848</v>
      </c>
    </row>
    <row r="64" spans="1:13" x14ac:dyDescent="0.25">
      <c r="I64" t="s">
        <v>235</v>
      </c>
      <c r="J64" s="38">
        <f>B52</f>
        <v>24538.000000000004</v>
      </c>
    </row>
    <row r="65" spans="1:10" x14ac:dyDescent="0.25">
      <c r="I65" t="s">
        <v>228</v>
      </c>
      <c r="J65" s="35">
        <f>J63-J64</f>
        <v>758.90721649484476</v>
      </c>
    </row>
    <row r="66" spans="1:10" x14ac:dyDescent="0.25">
      <c r="A66" t="s">
        <v>52</v>
      </c>
    </row>
    <row r="67" spans="1:10" x14ac:dyDescent="0.25">
      <c r="A67" t="str">
        <f>A35</f>
        <v>Base Case NPV=</v>
      </c>
      <c r="B67">
        <f>B35</f>
        <v>5263.7193799905945</v>
      </c>
    </row>
    <row r="68" spans="1:10" x14ac:dyDescent="0.25">
      <c r="A68" t="str">
        <f>A49</f>
        <v>Financing side effects</v>
      </c>
      <c r="B68" s="22">
        <f>B62</f>
        <v>1625.1814006142822</v>
      </c>
    </row>
    <row r="69" spans="1:10" x14ac:dyDescent="0.25">
      <c r="A69" t="s">
        <v>52</v>
      </c>
      <c r="B69" s="22">
        <f>SUM(B67:B68)</f>
        <v>6888.9007806048767</v>
      </c>
    </row>
    <row r="78" spans="1:10" x14ac:dyDescent="0.25">
      <c r="A78" s="2" t="s">
        <v>215</v>
      </c>
    </row>
    <row r="79" spans="1:10" ht="15.75" thickBot="1" x14ac:dyDescent="0.3">
      <c r="B79" s="22" t="s">
        <v>216</v>
      </c>
      <c r="C79" t="s">
        <v>217</v>
      </c>
      <c r="D79" t="s">
        <v>173</v>
      </c>
    </row>
    <row r="80" spans="1:10" ht="15.75" thickBot="1" x14ac:dyDescent="0.3">
      <c r="B80" s="22">
        <f>C51</f>
        <v>10000</v>
      </c>
      <c r="C80">
        <v>2.5461999999999998</v>
      </c>
      <c r="D80">
        <f>C80*B80</f>
        <v>25461.999999999996</v>
      </c>
      <c r="E80" s="51" t="s">
        <v>222</v>
      </c>
      <c r="F80" s="52"/>
      <c r="G80" s="53"/>
    </row>
    <row r="82" spans="1:13" x14ac:dyDescent="0.25">
      <c r="A82" s="2" t="s">
        <v>218</v>
      </c>
    </row>
    <row r="83" spans="1:13" x14ac:dyDescent="0.25">
      <c r="B83" s="22" t="s">
        <v>136</v>
      </c>
    </row>
    <row r="84" spans="1:13" x14ac:dyDescent="0.25">
      <c r="A84" t="s">
        <v>219</v>
      </c>
      <c r="B84" s="22">
        <f>C51/(1+2.2%*6/12)</f>
        <v>9891.196834817014</v>
      </c>
    </row>
    <row r="85" spans="1:13" x14ac:dyDescent="0.25">
      <c r="B85" s="22" t="s">
        <v>173</v>
      </c>
    </row>
    <row r="86" spans="1:13" x14ac:dyDescent="0.25">
      <c r="A86" t="s">
        <v>220</v>
      </c>
      <c r="B86" s="22">
        <f>B84*J52</f>
        <v>24935.707220573691</v>
      </c>
    </row>
    <row r="87" spans="1:13" x14ac:dyDescent="0.25">
      <c r="A87" t="s">
        <v>221</v>
      </c>
      <c r="B87" s="22">
        <f>B86*(1+2.4%*6/12)</f>
        <v>25234.935707220575</v>
      </c>
    </row>
    <row r="90" spans="1:13" x14ac:dyDescent="0.25">
      <c r="A90" t="s">
        <v>223</v>
      </c>
      <c r="B90" s="22">
        <f>B28+D80</f>
        <v>-24538.000000000004</v>
      </c>
    </row>
    <row r="93" spans="1:13" x14ac:dyDescent="0.25">
      <c r="A93" s="49" t="s">
        <v>207</v>
      </c>
    </row>
    <row r="94" spans="1:13" ht="15.75" thickBot="1" x14ac:dyDescent="0.3">
      <c r="B94" s="57">
        <v>0</v>
      </c>
      <c r="C94" s="2">
        <f>1+B94</f>
        <v>1</v>
      </c>
      <c r="D94" s="2">
        <f t="shared" ref="D94:F94" si="23">1+C94</f>
        <v>2</v>
      </c>
      <c r="E94" s="2">
        <f t="shared" si="23"/>
        <v>3</v>
      </c>
      <c r="F94" s="2">
        <f t="shared" si="23"/>
        <v>4</v>
      </c>
    </row>
    <row r="95" spans="1:13" ht="15.75" thickBot="1" x14ac:dyDescent="0.3">
      <c r="A95" t="s">
        <v>208</v>
      </c>
      <c r="B95" s="22">
        <f>$B$28</f>
        <v>-50000</v>
      </c>
      <c r="C95">
        <v>8450</v>
      </c>
      <c r="D95">
        <v>19360</v>
      </c>
      <c r="E95">
        <v>22340</v>
      </c>
      <c r="F95">
        <v>4950</v>
      </c>
      <c r="H95" s="51" t="s">
        <v>209</v>
      </c>
      <c r="I95" s="52"/>
      <c r="J95" s="52"/>
      <c r="K95" s="52"/>
      <c r="L95" s="52"/>
      <c r="M95" s="53"/>
    </row>
    <row r="97" spans="1:14" x14ac:dyDescent="0.25">
      <c r="A97" t="s">
        <v>53</v>
      </c>
      <c r="B97" s="22">
        <f>SUM(C95:F95)+B28</f>
        <v>5100</v>
      </c>
    </row>
    <row r="98" spans="1:14" ht="17.25" x14ac:dyDescent="0.4">
      <c r="A98" t="str">
        <f>A68</f>
        <v>Financing side effects</v>
      </c>
      <c r="B98" s="59">
        <f>$B$68</f>
        <v>1625.1814006142822</v>
      </c>
    </row>
    <row r="99" spans="1:14" ht="17.25" x14ac:dyDescent="0.4">
      <c r="A99" t="str">
        <f>A69</f>
        <v>APV</v>
      </c>
      <c r="B99" s="59">
        <f>SUM(B97:B98)</f>
        <v>6725.1814006142822</v>
      </c>
    </row>
    <row r="105" spans="1:14" ht="15.75" thickBot="1" x14ac:dyDescent="0.3">
      <c r="C105" s="2">
        <f>1+B105</f>
        <v>1</v>
      </c>
      <c r="D105" s="2">
        <f t="shared" ref="D105:F105" si="24">1+C105</f>
        <v>2</v>
      </c>
      <c r="E105" s="2">
        <f t="shared" si="24"/>
        <v>3</v>
      </c>
      <c r="F105" s="2">
        <f t="shared" si="24"/>
        <v>4</v>
      </c>
      <c r="G105" t="s">
        <v>244</v>
      </c>
    </row>
    <row r="106" spans="1:14" ht="15.75" thickBot="1" x14ac:dyDescent="0.3">
      <c r="A106" t="s">
        <v>245</v>
      </c>
      <c r="C106" s="22">
        <f>C31</f>
        <v>5232.3179144385022</v>
      </c>
      <c r="D106" s="22">
        <f>D31</f>
        <v>9278.2895115673909</v>
      </c>
      <c r="E106" s="22">
        <f>E31</f>
        <v>20507.849569293121</v>
      </c>
      <c r="F106" s="22">
        <f>F31</f>
        <v>21977.762384691581</v>
      </c>
      <c r="G106" s="38">
        <f>SUM(C106:F106)</f>
        <v>56996.219379990594</v>
      </c>
      <c r="I106" s="51" t="s">
        <v>247</v>
      </c>
      <c r="J106" s="52" t="s">
        <v>248</v>
      </c>
      <c r="K106" s="52"/>
      <c r="L106" s="52"/>
      <c r="M106" s="52"/>
      <c r="N106" s="53"/>
    </row>
    <row r="107" spans="1:14" x14ac:dyDescent="0.25">
      <c r="A107" t="s">
        <v>242</v>
      </c>
      <c r="C107" s="35">
        <f>C106*C105</f>
        <v>5232.3179144385022</v>
      </c>
      <c r="D107" s="35">
        <f t="shared" ref="D107:F107" si="25">D106*D105</f>
        <v>18556.579023134782</v>
      </c>
      <c r="E107" s="35">
        <f t="shared" si="25"/>
        <v>61523.548707879367</v>
      </c>
      <c r="F107" s="35">
        <f t="shared" si="25"/>
        <v>87911.049538766325</v>
      </c>
      <c r="G107" s="38">
        <f>SUM(C107:F107)</f>
        <v>173223.49518421898</v>
      </c>
    </row>
    <row r="108" spans="1:14" x14ac:dyDescent="0.25">
      <c r="A108" t="s">
        <v>243</v>
      </c>
      <c r="B108" s="60">
        <f>G107/G106</f>
        <v>3.0392102681293238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9"/>
  <sheetViews>
    <sheetView topLeftCell="A80" workbookViewId="0">
      <selection activeCell="C89" sqref="C89"/>
    </sheetView>
  </sheetViews>
  <sheetFormatPr defaultRowHeight="15" x14ac:dyDescent="0.25"/>
  <cols>
    <col min="1" max="1" width="28.42578125" bestFit="1" customWidth="1"/>
    <col min="2" max="2" width="12.28515625" bestFit="1" customWidth="1"/>
    <col min="3" max="6" width="12.85546875" bestFit="1" customWidth="1"/>
    <col min="7" max="7" width="42" customWidth="1"/>
    <col min="9" max="9" width="11.85546875" bestFit="1" customWidth="1"/>
    <col min="10" max="10" width="9.140625" style="1"/>
  </cols>
  <sheetData>
    <row r="1" spans="1:2" x14ac:dyDescent="0.25">
      <c r="A1" t="s">
        <v>7</v>
      </c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10" spans="1:2" x14ac:dyDescent="0.25">
      <c r="A10" s="2" t="s">
        <v>52</v>
      </c>
    </row>
    <row r="11" spans="1:2" x14ac:dyDescent="0.25">
      <c r="A11" t="s">
        <v>53</v>
      </c>
      <c r="B11" s="6">
        <f>I109</f>
        <v>2015.4643397368409</v>
      </c>
    </row>
    <row r="12" spans="1:2" x14ac:dyDescent="0.25">
      <c r="A12" t="s">
        <v>56</v>
      </c>
      <c r="B12">
        <f>SUM(M44:P44)</f>
        <v>1033.0818621436822</v>
      </c>
    </row>
    <row r="13" spans="1:2" x14ac:dyDescent="0.25">
      <c r="A13" t="s">
        <v>92</v>
      </c>
      <c r="B13" s="5">
        <f>SUM(B28:B29)*1000</f>
        <v>599.99999999999989</v>
      </c>
    </row>
    <row r="14" spans="1:2" x14ac:dyDescent="0.25">
      <c r="A14" t="s">
        <v>13</v>
      </c>
      <c r="B14" s="6">
        <f>SUM(C26:F26)/1000*((1-(1+7%)^-4)/7%)</f>
        <v>1423.4436094500836</v>
      </c>
    </row>
    <row r="15" spans="1:2" x14ac:dyDescent="0.25">
      <c r="A15" t="s">
        <v>93</v>
      </c>
      <c r="B15" s="6">
        <f>SUM(C27:F27)/1000*((1-(1+7%)^-4)/7%)</f>
        <v>-5599.4666722856437</v>
      </c>
    </row>
    <row r="19" spans="1:14" x14ac:dyDescent="0.25">
      <c r="H19" s="1" t="s">
        <v>10</v>
      </c>
    </row>
    <row r="20" spans="1:14" x14ac:dyDescent="0.25">
      <c r="H20" s="1" t="s">
        <v>11</v>
      </c>
    </row>
    <row r="21" spans="1:14" x14ac:dyDescent="0.25">
      <c r="A21" s="1" t="s">
        <v>47</v>
      </c>
      <c r="C21" t="s">
        <v>8</v>
      </c>
      <c r="D21" t="s">
        <v>17</v>
      </c>
      <c r="E21" t="s">
        <v>24</v>
      </c>
      <c r="F21" s="4">
        <v>0.03</v>
      </c>
      <c r="H21" s="1" t="s">
        <v>12</v>
      </c>
    </row>
    <row r="22" spans="1:14" x14ac:dyDescent="0.25">
      <c r="B22" s="2">
        <v>0</v>
      </c>
      <c r="C22" s="2">
        <f>1+B22</f>
        <v>1</v>
      </c>
      <c r="D22" s="2">
        <f>1+C22</f>
        <v>2</v>
      </c>
      <c r="E22" s="2">
        <f>1+D22</f>
        <v>3</v>
      </c>
      <c r="F22" s="2">
        <f>1+E22</f>
        <v>4</v>
      </c>
    </row>
    <row r="23" spans="1:14" x14ac:dyDescent="0.25">
      <c r="A23" t="s">
        <v>36</v>
      </c>
      <c r="C23" s="3">
        <v>40000</v>
      </c>
      <c r="D23" s="3">
        <f>C23*0.8</f>
        <v>32000</v>
      </c>
      <c r="E23" s="3">
        <f>D23*0.8</f>
        <v>25600</v>
      </c>
      <c r="F23" s="3">
        <f>E23*0.8</f>
        <v>20480</v>
      </c>
    </row>
    <row r="24" spans="1:14" x14ac:dyDescent="0.25">
      <c r="A24" t="s">
        <v>35</v>
      </c>
      <c r="C24" s="3">
        <v>12000</v>
      </c>
      <c r="D24" s="3">
        <v>22000</v>
      </c>
      <c r="E24" s="3">
        <v>47000</v>
      </c>
      <c r="F24" s="3">
        <v>60000</v>
      </c>
      <c r="J24" s="1" t="s">
        <v>30</v>
      </c>
      <c r="K24" t="s">
        <v>31</v>
      </c>
      <c r="L24" t="s">
        <v>33</v>
      </c>
      <c r="M24" t="s">
        <v>34</v>
      </c>
      <c r="N24" t="s">
        <v>37</v>
      </c>
    </row>
    <row r="25" spans="1:14" x14ac:dyDescent="0.25">
      <c r="J25" s="1" t="s">
        <v>32</v>
      </c>
      <c r="K25">
        <v>55</v>
      </c>
      <c r="L25">
        <v>1</v>
      </c>
      <c r="M25">
        <f>K25/L25</f>
        <v>55</v>
      </c>
      <c r="N25">
        <f>L25/K25</f>
        <v>1.8181818181818181E-2</v>
      </c>
    </row>
    <row r="26" spans="1:14" x14ac:dyDescent="0.25">
      <c r="A26" t="s">
        <v>40</v>
      </c>
      <c r="C26">
        <f>4*C77*0.7</f>
        <v>33600</v>
      </c>
      <c r="D26">
        <f>4*D77*0.7*(1.03^C22)</f>
        <v>63447.999999999993</v>
      </c>
      <c r="E26">
        <f>4*E77*0.7*(1.03^D22)</f>
        <v>139614.44</v>
      </c>
      <c r="F26">
        <f>4*F77*0.7*(1.03^E22)</f>
        <v>183578.136</v>
      </c>
      <c r="J26" s="1">
        <v>1</v>
      </c>
      <c r="K26">
        <f>K25*(1+$E$74)</f>
        <v>59.95</v>
      </c>
      <c r="L26">
        <f>L25*(1+$F$21)</f>
        <v>1.03</v>
      </c>
      <c r="M26">
        <f>K26/L26</f>
        <v>58.203883495145632</v>
      </c>
      <c r="N26">
        <f>L26/K26</f>
        <v>1.7180984153461216E-2</v>
      </c>
    </row>
    <row r="27" spans="1:14" x14ac:dyDescent="0.25">
      <c r="A27" t="s">
        <v>13</v>
      </c>
      <c r="C27">
        <f>-20*C23*0.7</f>
        <v>-560000</v>
      </c>
      <c r="D27">
        <f>-20*D23*0.7</f>
        <v>-448000</v>
      </c>
      <c r="E27">
        <f>-20*E23*0.7</f>
        <v>-358400</v>
      </c>
      <c r="F27">
        <f>-20*F23*0.7</f>
        <v>-286720</v>
      </c>
      <c r="J27" s="1">
        <f>J26+1</f>
        <v>2</v>
      </c>
      <c r="K27">
        <f>K26*(1+$E$74)</f>
        <v>65.345500000000001</v>
      </c>
      <c r="L27">
        <f>L26*(1+$F$21)</f>
        <v>1.0609</v>
      </c>
      <c r="M27">
        <f>K27/L27</f>
        <v>61.594400980299753</v>
      </c>
      <c r="N27">
        <f>L27/K27</f>
        <v>1.62352419064817E-2</v>
      </c>
    </row>
    <row r="28" spans="1:14" x14ac:dyDescent="0.25">
      <c r="A28" t="s">
        <v>15</v>
      </c>
      <c r="B28">
        <v>2.2999999999999998</v>
      </c>
      <c r="J28" s="1">
        <f>J27+1</f>
        <v>3</v>
      </c>
      <c r="K28">
        <f>K27*(1+$E$74)</f>
        <v>71.226595000000003</v>
      </c>
      <c r="L28">
        <f>L27*(1+$F$21)</f>
        <v>1.092727</v>
      </c>
      <c r="M28">
        <f>K28/L28</f>
        <v>65.182424338375455</v>
      </c>
      <c r="N28">
        <f>L28/K28</f>
        <v>1.5341558865757937E-2</v>
      </c>
    </row>
    <row r="29" spans="1:14" x14ac:dyDescent="0.25">
      <c r="A29" t="s">
        <v>14</v>
      </c>
      <c r="B29">
        <v>-1.7</v>
      </c>
      <c r="J29" s="1">
        <f>J28+1</f>
        <v>4</v>
      </c>
      <c r="K29">
        <f>K28*(1+$E$74)</f>
        <v>77.636988550000012</v>
      </c>
      <c r="L29">
        <f>L28*(1+$F$21)</f>
        <v>1.1255088100000001</v>
      </c>
      <c r="M29">
        <f>K29/L29</f>
        <v>68.97945876585365</v>
      </c>
      <c r="N29">
        <f>L29/K29</f>
        <v>1.4497069386908876E-2</v>
      </c>
    </row>
    <row r="31" spans="1:14" x14ac:dyDescent="0.25">
      <c r="J31" s="1" t="s">
        <v>57</v>
      </c>
      <c r="K31" t="s">
        <v>50</v>
      </c>
      <c r="L31" t="s">
        <v>33</v>
      </c>
    </row>
    <row r="32" spans="1:14" x14ac:dyDescent="0.25">
      <c r="J32" s="1" t="s">
        <v>49</v>
      </c>
      <c r="K32" s="4">
        <v>0.13</v>
      </c>
      <c r="L32" s="4">
        <v>0.05</v>
      </c>
      <c r="M32" t="s">
        <v>91</v>
      </c>
    </row>
    <row r="33" spans="1:17" x14ac:dyDescent="0.25">
      <c r="J33" s="1" t="s">
        <v>51</v>
      </c>
      <c r="K33" s="4">
        <v>0.06</v>
      </c>
    </row>
    <row r="35" spans="1:17" x14ac:dyDescent="0.25">
      <c r="M35" s="2">
        <f>1+L35</f>
        <v>1</v>
      </c>
      <c r="N35" s="2">
        <f>1+M35</f>
        <v>2</v>
      </c>
      <c r="O35" s="2">
        <f>1+N35</f>
        <v>3</v>
      </c>
      <c r="P35" s="2">
        <f>1+O35</f>
        <v>4</v>
      </c>
    </row>
    <row r="36" spans="1:17" x14ac:dyDescent="0.25">
      <c r="K36" t="s">
        <v>54</v>
      </c>
      <c r="L36" s="4">
        <f>K32-K33</f>
        <v>7.0000000000000007E-2</v>
      </c>
      <c r="M36">
        <f>L36*-(B103+B104+B105)*0.8</f>
        <v>15120</v>
      </c>
    </row>
    <row r="37" spans="1:17" x14ac:dyDescent="0.25">
      <c r="A37" t="s">
        <v>45</v>
      </c>
      <c r="K37" t="s">
        <v>55</v>
      </c>
      <c r="M37">
        <f>K33*-(B103+B104+B105)*0.2</f>
        <v>3240</v>
      </c>
    </row>
    <row r="38" spans="1:17" x14ac:dyDescent="0.25">
      <c r="A38" t="s">
        <v>46</v>
      </c>
    </row>
    <row r="40" spans="1:17" x14ac:dyDescent="0.25">
      <c r="M40" s="3"/>
    </row>
    <row r="41" spans="1:17" x14ac:dyDescent="0.25">
      <c r="M41" s="3">
        <f>SUM(M36:M40)</f>
        <v>18360</v>
      </c>
      <c r="N41" s="3">
        <f>M41</f>
        <v>18360</v>
      </c>
      <c r="O41" s="3">
        <f>N41</f>
        <v>18360</v>
      </c>
      <c r="P41" s="3">
        <f>O41</f>
        <v>18360</v>
      </c>
      <c r="Q41" s="3">
        <f>SUM(Q36:Q40)</f>
        <v>0</v>
      </c>
    </row>
    <row r="42" spans="1:17" x14ac:dyDescent="0.25">
      <c r="M42">
        <f>1/(1+5%)^M35</f>
        <v>0.95238095238095233</v>
      </c>
      <c r="N42">
        <f>1/(1+5%)^N35</f>
        <v>0.90702947845804982</v>
      </c>
      <c r="O42">
        <f>1/(1+5%)^O35</f>
        <v>0.86383759853147601</v>
      </c>
      <c r="P42">
        <f>1/(1+5%)^P35</f>
        <v>0.82270247479188197</v>
      </c>
    </row>
    <row r="43" spans="1:17" x14ac:dyDescent="0.25">
      <c r="M43">
        <f>M41*M42</f>
        <v>17485.714285714286</v>
      </c>
      <c r="N43">
        <f>N41*N42</f>
        <v>16653.061224489793</v>
      </c>
      <c r="O43">
        <f>O41*O42</f>
        <v>15860.0583090379</v>
      </c>
      <c r="P43">
        <f>P41*P42</f>
        <v>15104.817437178954</v>
      </c>
    </row>
    <row r="44" spans="1:17" x14ac:dyDescent="0.25">
      <c r="A44" t="s">
        <v>41</v>
      </c>
      <c r="M44">
        <f>M43*N26</f>
        <v>300.42178005480753</v>
      </c>
      <c r="N44">
        <f>N43*N27</f>
        <v>270.36647746304214</v>
      </c>
      <c r="O44">
        <f>O43*N28</f>
        <v>243.31801816245823</v>
      </c>
      <c r="P44">
        <f>P43*N29</f>
        <v>218.97558646337438</v>
      </c>
    </row>
    <row r="45" spans="1:17" x14ac:dyDescent="0.25">
      <c r="A45" t="s">
        <v>43</v>
      </c>
    </row>
    <row r="46" spans="1:17" x14ac:dyDescent="0.25">
      <c r="A46" t="s">
        <v>44</v>
      </c>
    </row>
    <row r="49" spans="1:1" x14ac:dyDescent="0.25">
      <c r="A49" t="s">
        <v>68</v>
      </c>
    </row>
    <row r="53" spans="1:1" x14ac:dyDescent="0.25">
      <c r="A53" s="6">
        <f>NPV(K85,C49:F49)</f>
        <v>0</v>
      </c>
    </row>
    <row r="74" spans="1:18" x14ac:dyDescent="0.25">
      <c r="A74" t="s">
        <v>16</v>
      </c>
      <c r="D74" t="s">
        <v>24</v>
      </c>
      <c r="E74" s="4">
        <v>0.09</v>
      </c>
    </row>
    <row r="75" spans="1:18" x14ac:dyDescent="0.25">
      <c r="A75" s="1" t="s">
        <v>48</v>
      </c>
      <c r="C75" t="s">
        <v>8</v>
      </c>
    </row>
    <row r="76" spans="1:18" x14ac:dyDescent="0.25">
      <c r="B76" s="2">
        <v>0</v>
      </c>
      <c r="C76" s="2">
        <f>1+B76</f>
        <v>1</v>
      </c>
      <c r="D76" s="2">
        <f>1+C76</f>
        <v>2</v>
      </c>
      <c r="E76" s="2">
        <f>1+D76</f>
        <v>3</v>
      </c>
      <c r="F76" s="2">
        <f>1+E76</f>
        <v>4</v>
      </c>
      <c r="J76" s="1" t="s">
        <v>58</v>
      </c>
      <c r="K76" t="s">
        <v>61</v>
      </c>
    </row>
    <row r="77" spans="1:18" x14ac:dyDescent="0.25">
      <c r="A77" t="s">
        <v>26</v>
      </c>
      <c r="C77" s="3">
        <v>12000</v>
      </c>
      <c r="D77" s="3">
        <v>22000</v>
      </c>
      <c r="E77" s="3">
        <v>47000</v>
      </c>
      <c r="F77" s="3">
        <v>60000</v>
      </c>
      <c r="J77" s="1" t="s">
        <v>59</v>
      </c>
      <c r="K77">
        <v>25</v>
      </c>
    </row>
    <row r="78" spans="1:18" x14ac:dyDescent="0.25">
      <c r="A78" t="s">
        <v>38</v>
      </c>
      <c r="C78" s="16">
        <f>70*M26*C77/1000</f>
        <v>48891.262135922334</v>
      </c>
      <c r="D78" s="16">
        <f>70*M27*D77/1000</f>
        <v>94855.377509661615</v>
      </c>
      <c r="E78" s="16">
        <f>70*M28*E77/1000</f>
        <v>214450.17607325525</v>
      </c>
      <c r="F78" s="16">
        <f>70*M29*F77/1000</f>
        <v>289713.72681658529</v>
      </c>
      <c r="J78" s="1" t="s">
        <v>60</v>
      </c>
      <c r="K78">
        <v>2.4</v>
      </c>
    </row>
    <row r="79" spans="1:18" ht="15.75" thickBot="1" x14ac:dyDescent="0.3">
      <c r="A79" t="s">
        <v>29</v>
      </c>
      <c r="C79" s="16">
        <f>-1350*C77/1000</f>
        <v>-16200</v>
      </c>
      <c r="D79" s="5">
        <f>-1350*(1+$E$74)*D77/1000</f>
        <v>-32373</v>
      </c>
      <c r="E79" s="5">
        <f>-1350*(1+$E$74)^D76*E77/1000</f>
        <v>-75384.945000000022</v>
      </c>
      <c r="F79" s="5">
        <f>-1350*(1+$E$74)^E76*F77/1000</f>
        <v>-104897.34900000002</v>
      </c>
      <c r="K79" t="s">
        <v>72</v>
      </c>
    </row>
    <row r="80" spans="1:18" ht="60.75" thickBot="1" x14ac:dyDescent="0.3">
      <c r="A80" t="s">
        <v>39</v>
      </c>
      <c r="C80" s="17">
        <f>C77*7*-M26/1000</f>
        <v>-4889.1262135922334</v>
      </c>
      <c r="D80" s="3">
        <f>7*1.03*-M27*D77/1000</f>
        <v>-9770.1038834951469</v>
      </c>
      <c r="E80" s="3">
        <f>((7*(1.03)^D76)*-M28*E77)/1000</f>
        <v>-22751.019179611645</v>
      </c>
      <c r="F80" s="3">
        <f>((7*(1.03)^E76)*-M29*F77)/1000</f>
        <v>-31657.801156310685</v>
      </c>
      <c r="G80" s="19" t="s">
        <v>83</v>
      </c>
      <c r="J80" s="1" t="s">
        <v>62</v>
      </c>
      <c r="K80">
        <f>K78*K77</f>
        <v>60</v>
      </c>
      <c r="L80">
        <f>K80</f>
        <v>60</v>
      </c>
      <c r="Q80" s="1" t="s">
        <v>62</v>
      </c>
      <c r="R80">
        <f>K80</f>
        <v>60</v>
      </c>
    </row>
    <row r="81" spans="1:18" x14ac:dyDescent="0.25">
      <c r="A81" t="s">
        <v>80</v>
      </c>
      <c r="C81">
        <f>SUM(C78:C80)</f>
        <v>27802.135922330101</v>
      </c>
      <c r="D81">
        <f>SUM(D78:D80)</f>
        <v>52712.273626166469</v>
      </c>
      <c r="E81">
        <f>SUM(E78:E80)</f>
        <v>116314.2118936436</v>
      </c>
      <c r="F81">
        <f>SUM(F78:F80)</f>
        <v>153158.57666027459</v>
      </c>
      <c r="J81" s="1" t="s">
        <v>63</v>
      </c>
      <c r="K81">
        <f>40/1000*1428</f>
        <v>57.120000000000005</v>
      </c>
      <c r="M81" t="s">
        <v>82</v>
      </c>
      <c r="Q81" s="1" t="s">
        <v>63</v>
      </c>
      <c r="R81">
        <f>40/1000*1428</f>
        <v>57.120000000000005</v>
      </c>
    </row>
    <row r="82" spans="1:18" x14ac:dyDescent="0.25">
      <c r="J82" s="1" t="s">
        <v>64</v>
      </c>
      <c r="K82">
        <v>1.17</v>
      </c>
      <c r="M82" t="s">
        <v>70</v>
      </c>
      <c r="N82" s="12">
        <f>K83+P82*(K84)</f>
        <v>7.212674027844454E-2</v>
      </c>
      <c r="P82">
        <f>K82*(K80/(K80+K81*0.7))</f>
        <v>0.7021123379740758</v>
      </c>
      <c r="Q82" s="1" t="s">
        <v>64</v>
      </c>
      <c r="R82">
        <v>1.17</v>
      </c>
    </row>
    <row r="83" spans="1:18" x14ac:dyDescent="0.25">
      <c r="J83" s="1" t="s">
        <v>65</v>
      </c>
      <c r="K83" s="4">
        <v>0.03</v>
      </c>
      <c r="M83" t="s">
        <v>89</v>
      </c>
      <c r="N83" s="10">
        <f>K83+P83*(K84)</f>
        <v>9.6126740278444547E-2</v>
      </c>
      <c r="P83">
        <f>P82+0.4</f>
        <v>1.1021123379740758</v>
      </c>
      <c r="Q83" s="1" t="s">
        <v>65</v>
      </c>
      <c r="R83" s="4">
        <v>0.03</v>
      </c>
    </row>
    <row r="84" spans="1:18" x14ac:dyDescent="0.25">
      <c r="A84" t="s">
        <v>20</v>
      </c>
      <c r="C84">
        <f>B104/4</f>
        <v>-20000</v>
      </c>
      <c r="D84">
        <v>-20000</v>
      </c>
      <c r="E84">
        <v>-20000</v>
      </c>
      <c r="F84">
        <v>-20000</v>
      </c>
      <c r="J84" s="1" t="s">
        <v>66</v>
      </c>
      <c r="K84" s="4">
        <v>0.06</v>
      </c>
      <c r="M84" t="s">
        <v>71</v>
      </c>
      <c r="N84" s="7"/>
      <c r="Q84" s="1" t="s">
        <v>66</v>
      </c>
      <c r="R84" s="4">
        <v>0.06</v>
      </c>
    </row>
    <row r="85" spans="1:18" x14ac:dyDescent="0.25">
      <c r="A85" t="s">
        <v>28</v>
      </c>
      <c r="C85" s="18">
        <v>-30000</v>
      </c>
      <c r="D85">
        <f>C85*(1+$E$74)</f>
        <v>-32700.000000000004</v>
      </c>
      <c r="E85">
        <f>D85*(1+$E$74)</f>
        <v>-35643.000000000007</v>
      </c>
      <c r="F85">
        <f>E85*(1+$E$74)</f>
        <v>-38850.87000000001</v>
      </c>
      <c r="J85" s="1" t="s">
        <v>67</v>
      </c>
      <c r="K85" s="4">
        <v>7.0000000000000007E-2</v>
      </c>
      <c r="Q85" s="1" t="s">
        <v>67</v>
      </c>
      <c r="R85" s="4">
        <v>7.0000000000000007E-2</v>
      </c>
    </row>
    <row r="87" spans="1:18" x14ac:dyDescent="0.25">
      <c r="C87" s="3"/>
      <c r="D87" s="3"/>
      <c r="E87" s="3"/>
      <c r="F87" s="3"/>
      <c r="K87" t="s">
        <v>73</v>
      </c>
      <c r="L87" t="s">
        <v>77</v>
      </c>
    </row>
    <row r="88" spans="1:18" x14ac:dyDescent="0.25">
      <c r="A88" t="s">
        <v>45</v>
      </c>
      <c r="C88">
        <f>SUM(C81:C87)</f>
        <v>-22197.864077669899</v>
      </c>
      <c r="D88">
        <f>SUM(D81:D87)</f>
        <v>12.273626166464965</v>
      </c>
      <c r="E88">
        <f>SUM(E81:E87)</f>
        <v>60671.211893643595</v>
      </c>
      <c r="F88">
        <f>SUM(F81:F87)</f>
        <v>94307.706660274576</v>
      </c>
      <c r="G88">
        <f>-F84+F88</f>
        <v>114307.70666027458</v>
      </c>
      <c r="K88" t="s">
        <v>78</v>
      </c>
      <c r="L88" s="13">
        <v>6.8699999999999997E-2</v>
      </c>
    </row>
    <row r="89" spans="1:18" ht="15.75" thickBot="1" x14ac:dyDescent="0.3">
      <c r="A89" s="28" t="s">
        <v>46</v>
      </c>
      <c r="B89" s="29"/>
      <c r="C89" s="30">
        <v>0</v>
      </c>
      <c r="D89" s="30">
        <f>C90</f>
        <v>-22197.864077669899</v>
      </c>
      <c r="E89" s="30">
        <f>D90</f>
        <v>-22185.590451503434</v>
      </c>
      <c r="F89" s="31"/>
    </row>
    <row r="90" spans="1:18" ht="15.75" thickBot="1" x14ac:dyDescent="0.3">
      <c r="A90" s="32" t="s">
        <v>85</v>
      </c>
      <c r="B90" s="33"/>
      <c r="C90" s="33">
        <f>SUM(C88:C89)</f>
        <v>-22197.864077669899</v>
      </c>
      <c r="D90" s="33">
        <f>SUM(D88:D89)</f>
        <v>-22185.590451503434</v>
      </c>
      <c r="E90" s="33">
        <f>SUM(E88:E89)</f>
        <v>38485.62144214016</v>
      </c>
      <c r="F90" s="34">
        <f>SUM(F88:F89)</f>
        <v>94307.706660274576</v>
      </c>
      <c r="G90" s="20" t="s">
        <v>84</v>
      </c>
      <c r="K90" t="s">
        <v>79</v>
      </c>
    </row>
    <row r="91" spans="1:18" x14ac:dyDescent="0.25">
      <c r="A91" s="23" t="s">
        <v>88</v>
      </c>
      <c r="B91" s="24"/>
      <c r="C91" s="25"/>
      <c r="D91" s="26"/>
      <c r="E91" s="26">
        <f>0.2*-E90</f>
        <v>-7697.1242884280327</v>
      </c>
      <c r="F91" s="27">
        <f>0.2*-F90</f>
        <v>-18861.541332054916</v>
      </c>
      <c r="G91" s="14" t="s">
        <v>86</v>
      </c>
      <c r="J91" s="1">
        <v>40</v>
      </c>
      <c r="K91">
        <v>0</v>
      </c>
      <c r="L91" s="8" t="s">
        <v>74</v>
      </c>
      <c r="M91">
        <v>4</v>
      </c>
    </row>
    <row r="92" spans="1:18" ht="15.75" thickBot="1" x14ac:dyDescent="0.3">
      <c r="A92" t="s">
        <v>87</v>
      </c>
      <c r="C92" s="21">
        <f>C88+C91</f>
        <v>-22197.864077669899</v>
      </c>
      <c r="D92" s="21">
        <f>D88+D91</f>
        <v>12.273626166464965</v>
      </c>
      <c r="E92" s="21">
        <f>E88+E91</f>
        <v>52974.087605215565</v>
      </c>
      <c r="F92" s="21">
        <f>F88+F91</f>
        <v>75446.165328219664</v>
      </c>
      <c r="G92" s="14" t="s">
        <v>86</v>
      </c>
      <c r="J92" s="1" t="s">
        <v>75</v>
      </c>
      <c r="K92">
        <v>-40</v>
      </c>
      <c r="L92">
        <f>J91*7%</f>
        <v>2.8000000000000003</v>
      </c>
      <c r="M92">
        <f>J91</f>
        <v>40</v>
      </c>
    </row>
    <row r="93" spans="1:18" x14ac:dyDescent="0.25">
      <c r="J93" s="1" t="s">
        <v>69</v>
      </c>
    </row>
    <row r="94" spans="1:18" x14ac:dyDescent="0.25">
      <c r="A94" t="s">
        <v>44</v>
      </c>
      <c r="C94" s="5">
        <f>-C84</f>
        <v>20000</v>
      </c>
      <c r="D94" s="5">
        <f>-D84</f>
        <v>20000</v>
      </c>
      <c r="E94" s="5">
        <f>-E84</f>
        <v>20000</v>
      </c>
      <c r="F94" s="5">
        <f>-F84</f>
        <v>20000</v>
      </c>
      <c r="I94" t="s">
        <v>76</v>
      </c>
      <c r="J94" s="9">
        <f>IRR(K92:M92)</f>
        <v>3.5612312535482582E-2</v>
      </c>
    </row>
    <row r="103" spans="1:15" x14ac:dyDescent="0.25">
      <c r="A103" t="s">
        <v>18</v>
      </c>
      <c r="B103">
        <f>-150*1000</f>
        <v>-150000</v>
      </c>
      <c r="F103">
        <v>450000</v>
      </c>
    </row>
    <row r="104" spans="1:15" x14ac:dyDescent="0.25">
      <c r="A104" t="s">
        <v>19</v>
      </c>
      <c r="B104">
        <v>-80000</v>
      </c>
      <c r="F104">
        <v>0</v>
      </c>
      <c r="J104" s="1" t="s">
        <v>23</v>
      </c>
      <c r="K104" s="2">
        <v>0</v>
      </c>
      <c r="L104" s="2">
        <f>1+K104</f>
        <v>1</v>
      </c>
      <c r="M104" s="2">
        <f>1+L104</f>
        <v>2</v>
      </c>
      <c r="N104" s="2">
        <f>1+M104</f>
        <v>3</v>
      </c>
      <c r="O104" s="2">
        <f>1+N104</f>
        <v>4</v>
      </c>
    </row>
    <row r="105" spans="1:15" x14ac:dyDescent="0.25">
      <c r="A105" t="s">
        <v>22</v>
      </c>
      <c r="B105">
        <v>-40000</v>
      </c>
      <c r="C105">
        <f>L106</f>
        <v>-3600</v>
      </c>
      <c r="D105">
        <f>M106</f>
        <v>-3924</v>
      </c>
      <c r="E105">
        <f>N106</f>
        <v>-4277.1600000000035</v>
      </c>
      <c r="F105">
        <f>O106</f>
        <v>-4662.1044000000038</v>
      </c>
      <c r="J105" s="1" t="s">
        <v>25</v>
      </c>
      <c r="K105">
        <f>B105</f>
        <v>-40000</v>
      </c>
      <c r="L105">
        <f>K105*1.09</f>
        <v>-43600</v>
      </c>
      <c r="M105">
        <f>L105*1.09</f>
        <v>-47524</v>
      </c>
      <c r="N105">
        <f>M105*1.09</f>
        <v>-51801.16</v>
      </c>
      <c r="O105">
        <f>N105*1.09</f>
        <v>-56463.264400000007</v>
      </c>
    </row>
    <row r="106" spans="1:15" x14ac:dyDescent="0.25">
      <c r="B106" s="3"/>
      <c r="C106" s="3"/>
      <c r="D106" s="3"/>
      <c r="E106" s="3"/>
      <c r="F106" s="3">
        <f>-SUM(B105:F105)</f>
        <v>56463.264400000007</v>
      </c>
      <c r="L106">
        <f>-K105+L105</f>
        <v>-3600</v>
      </c>
      <c r="M106">
        <f>-L105+M105</f>
        <v>-3924</v>
      </c>
      <c r="N106">
        <f>-M105+N105</f>
        <v>-4277.1600000000035</v>
      </c>
      <c r="O106">
        <f>-N105+O105</f>
        <v>-4662.1044000000038</v>
      </c>
    </row>
    <row r="107" spans="1:15" x14ac:dyDescent="0.25">
      <c r="A107" t="s">
        <v>81</v>
      </c>
      <c r="B107" s="22">
        <f>SUM(B92:B105)</f>
        <v>-270000</v>
      </c>
      <c r="C107" s="22">
        <f>SUM(C92:C105)</f>
        <v>-5797.8640776698994</v>
      </c>
      <c r="D107" s="22">
        <f>SUM(D92:D105)</f>
        <v>16088.273626166465</v>
      </c>
      <c r="E107" s="22">
        <f>SUM(E92:E105)</f>
        <v>68696.927605215562</v>
      </c>
      <c r="F107" s="22">
        <f>SUM(F92:F106)</f>
        <v>597247.32532821968</v>
      </c>
    </row>
    <row r="108" spans="1:15" x14ac:dyDescent="0.25">
      <c r="A108" t="s">
        <v>90</v>
      </c>
      <c r="B108" s="35">
        <f>B107*N25</f>
        <v>-4909.090909090909</v>
      </c>
      <c r="C108" s="35">
        <f>C107*N26</f>
        <v>-99.613010842368567</v>
      </c>
      <c r="D108" s="35">
        <f>D107*N27</f>
        <v>261.19701417848211</v>
      </c>
      <c r="E108" s="35">
        <f>E107*N28</f>
        <v>1053.917958752126</v>
      </c>
      <c r="F108" s="35">
        <f>F107*N29</f>
        <v>8658.3359164289395</v>
      </c>
    </row>
    <row r="109" spans="1:15" x14ac:dyDescent="0.25">
      <c r="A109" s="35"/>
      <c r="I109" s="6">
        <f>NPV(N83,C108:F108)+B108</f>
        <v>2015.4643397368409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3:P52"/>
  <sheetViews>
    <sheetView topLeftCell="A50" workbookViewId="0">
      <selection activeCell="B51" sqref="B51"/>
    </sheetView>
  </sheetViews>
  <sheetFormatPr defaultRowHeight="15" x14ac:dyDescent="0.25"/>
  <cols>
    <col min="1" max="1" width="21.140625" bestFit="1" customWidth="1"/>
    <col min="2" max="2" width="11.28515625" bestFit="1" customWidth="1"/>
    <col min="3" max="3" width="10.28515625" bestFit="1" customWidth="1"/>
    <col min="4" max="4" width="10.5703125" bestFit="1" customWidth="1"/>
    <col min="5" max="5" width="22.85546875" bestFit="1" customWidth="1"/>
    <col min="6" max="6" width="10.5703125" bestFit="1" customWidth="1"/>
    <col min="8" max="8" width="15.140625" customWidth="1"/>
    <col min="9" max="9" width="10.28515625" bestFit="1" customWidth="1"/>
    <col min="15" max="15" width="11.7109375" bestFit="1" customWidth="1"/>
  </cols>
  <sheetData>
    <row r="23" spans="1:16" x14ac:dyDescent="0.25">
      <c r="A23" s="22" t="s">
        <v>94</v>
      </c>
      <c r="B23" s="22"/>
      <c r="C23" s="22"/>
      <c r="D23" s="22"/>
      <c r="E23" s="22"/>
      <c r="F23" s="22"/>
    </row>
    <row r="24" spans="1:16" x14ac:dyDescent="0.25">
      <c r="A24" s="22" t="s">
        <v>95</v>
      </c>
      <c r="B24" s="22"/>
      <c r="C24" s="22"/>
      <c r="D24" s="22"/>
      <c r="E24" s="22"/>
      <c r="F24" s="22"/>
    </row>
    <row r="25" spans="1:16" x14ac:dyDescent="0.25">
      <c r="A25" s="22" t="s">
        <v>96</v>
      </c>
      <c r="B25" s="22"/>
      <c r="C25" s="22"/>
      <c r="D25" s="22"/>
      <c r="E25" s="22"/>
      <c r="F25" s="22"/>
    </row>
    <row r="26" spans="1:16" x14ac:dyDescent="0.25">
      <c r="A26" s="22" t="s">
        <v>97</v>
      </c>
      <c r="B26" s="22"/>
      <c r="C26" s="22"/>
      <c r="D26" s="22"/>
      <c r="E26" s="22"/>
      <c r="F26" s="22"/>
    </row>
    <row r="27" spans="1:16" x14ac:dyDescent="0.25">
      <c r="A27" s="22"/>
      <c r="B27" s="22"/>
      <c r="C27" s="22"/>
      <c r="D27" s="22"/>
      <c r="E27" s="22" t="s">
        <v>104</v>
      </c>
      <c r="F27" s="22"/>
    </row>
    <row r="28" spans="1:16" x14ac:dyDescent="0.25">
      <c r="A28" s="22"/>
      <c r="B28" s="22" t="s">
        <v>100</v>
      </c>
      <c r="C28" s="22"/>
      <c r="D28" s="22"/>
      <c r="E28" s="22"/>
      <c r="F28" s="22"/>
    </row>
    <row r="29" spans="1:16" x14ac:dyDescent="0.25">
      <c r="A29" s="22"/>
      <c r="B29" s="39">
        <v>0</v>
      </c>
      <c r="C29" s="39">
        <f>1+B29</f>
        <v>1</v>
      </c>
      <c r="D29" s="39">
        <f>1+C29</f>
        <v>2</v>
      </c>
      <c r="E29" s="39">
        <f>1+D29</f>
        <v>3</v>
      </c>
      <c r="F29" s="39">
        <f>1+E29</f>
        <v>4</v>
      </c>
      <c r="I29" t="s">
        <v>101</v>
      </c>
    </row>
    <row r="30" spans="1:16" x14ac:dyDescent="0.25">
      <c r="A30" s="22" t="s">
        <v>98</v>
      </c>
      <c r="B30" s="22"/>
      <c r="C30" s="37">
        <v>4300</v>
      </c>
      <c r="D30" s="37">
        <v>19200</v>
      </c>
      <c r="E30" s="37">
        <v>35600</v>
      </c>
      <c r="F30" s="37">
        <v>25400</v>
      </c>
      <c r="L30" s="2">
        <v>0</v>
      </c>
      <c r="M30" s="2">
        <f>1+L30</f>
        <v>1</v>
      </c>
      <c r="N30" s="2">
        <f>1+M30</f>
        <v>2</v>
      </c>
      <c r="O30" s="2">
        <f>1+N30</f>
        <v>3</v>
      </c>
      <c r="P30" s="2">
        <f>1+O30</f>
        <v>4</v>
      </c>
    </row>
    <row r="31" spans="1:16" x14ac:dyDescent="0.25">
      <c r="A31" s="22" t="s">
        <v>27</v>
      </c>
      <c r="B31" s="22"/>
      <c r="C31" s="22">
        <v>1200</v>
      </c>
      <c r="D31" s="22">
        <f>C31*(1+$I$31)</f>
        <v>1296</v>
      </c>
      <c r="E31" s="22">
        <f>D31*(1+$I$31)</f>
        <v>1399.68</v>
      </c>
      <c r="F31" s="22">
        <f>E31*(1+$I$31)</f>
        <v>1511.6544000000001</v>
      </c>
      <c r="I31" s="4">
        <v>0.08</v>
      </c>
      <c r="K31" t="s">
        <v>105</v>
      </c>
      <c r="M31">
        <f>C31*C30</f>
        <v>5160000</v>
      </c>
      <c r="N31">
        <f>D31*D30</f>
        <v>24883200</v>
      </c>
      <c r="O31">
        <f>E31*E30</f>
        <v>49828608</v>
      </c>
      <c r="P31">
        <f>F31*F30</f>
        <v>38396021.760000005</v>
      </c>
    </row>
    <row r="32" spans="1:16" x14ac:dyDescent="0.25">
      <c r="A32" s="22" t="s">
        <v>99</v>
      </c>
      <c r="B32" s="22"/>
      <c r="C32" s="37">
        <v>-480</v>
      </c>
      <c r="D32" s="37">
        <f>C32*(1+$I$32)</f>
        <v>-499.20000000000005</v>
      </c>
      <c r="E32" s="37">
        <f>D32*(1+$I$32)</f>
        <v>-519.16800000000012</v>
      </c>
      <c r="F32" s="37">
        <f>E32*(1+$I$32)</f>
        <v>-539.9347200000002</v>
      </c>
      <c r="I32" s="4">
        <v>0.04</v>
      </c>
      <c r="K32" t="s">
        <v>105</v>
      </c>
      <c r="M32">
        <f>M31/1000</f>
        <v>5160</v>
      </c>
      <c r="N32">
        <f>N31/1000</f>
        <v>24883.200000000001</v>
      </c>
      <c r="O32">
        <f>O31/1000</f>
        <v>49828.608</v>
      </c>
      <c r="P32">
        <f>P31/1000</f>
        <v>38396.021760000003</v>
      </c>
    </row>
    <row r="33" spans="1:16" x14ac:dyDescent="0.25">
      <c r="A33" s="22" t="s">
        <v>13</v>
      </c>
      <c r="B33" s="22"/>
      <c r="C33" s="37">
        <f>C31+C32</f>
        <v>720</v>
      </c>
      <c r="D33" s="37">
        <f>D31+D32</f>
        <v>796.8</v>
      </c>
      <c r="E33" s="37">
        <f>E31+E32</f>
        <v>880.51199999999994</v>
      </c>
      <c r="F33" s="37">
        <f>F31+F32</f>
        <v>971.71967999999993</v>
      </c>
      <c r="K33" t="s">
        <v>106</v>
      </c>
      <c r="N33">
        <f>N32-M32</f>
        <v>19723.2</v>
      </c>
      <c r="O33">
        <f>O32-N32</f>
        <v>24945.407999999999</v>
      </c>
      <c r="P33">
        <f>P32-O32</f>
        <v>-11432.586239999997</v>
      </c>
    </row>
    <row r="34" spans="1:16" ht="45" x14ac:dyDescent="0.25">
      <c r="A34" s="22" t="s">
        <v>102</v>
      </c>
      <c r="B34" s="22"/>
      <c r="C34" s="22">
        <f>C33*C30/1000</f>
        <v>3096</v>
      </c>
      <c r="D34" s="22">
        <f>D33*D30/1000</f>
        <v>15298.56</v>
      </c>
      <c r="E34" s="22">
        <f>E33*E30/1000</f>
        <v>31346.227199999998</v>
      </c>
      <c r="F34" s="22">
        <f>F33*F30/1000</f>
        <v>24681.679871999997</v>
      </c>
      <c r="H34" s="15" t="s">
        <v>111</v>
      </c>
      <c r="K34" t="s">
        <v>110</v>
      </c>
      <c r="N34">
        <f>N33*-0.1</f>
        <v>-1972.3200000000002</v>
      </c>
      <c r="O34">
        <f>O33*-0.1</f>
        <v>-2494.5408000000002</v>
      </c>
      <c r="P34">
        <f>P33*-0.1</f>
        <v>1143.2586239999998</v>
      </c>
    </row>
    <row r="35" spans="1:16" x14ac:dyDescent="0.25">
      <c r="A35" s="22" t="s">
        <v>20</v>
      </c>
      <c r="B35" s="22"/>
      <c r="C35" s="22">
        <f>B45*0.15</f>
        <v>-5250</v>
      </c>
      <c r="D35" s="22">
        <f>C35</f>
        <v>-5250</v>
      </c>
      <c r="E35" s="22">
        <f>D35</f>
        <v>-5250</v>
      </c>
      <c r="F35" s="22">
        <f>E35</f>
        <v>-5250</v>
      </c>
    </row>
    <row r="36" spans="1:16" x14ac:dyDescent="0.25">
      <c r="A36" s="22" t="s">
        <v>117</v>
      </c>
      <c r="B36" s="22"/>
      <c r="C36" s="22"/>
      <c r="D36" s="22"/>
      <c r="E36" s="22"/>
      <c r="F36" s="22">
        <f>I49</f>
        <v>-7000</v>
      </c>
    </row>
    <row r="37" spans="1:16" x14ac:dyDescent="0.25">
      <c r="A37" s="22" t="s">
        <v>103</v>
      </c>
      <c r="B37" s="22"/>
      <c r="C37" s="22">
        <f>C32*(200%)*C30/1000</f>
        <v>-4128</v>
      </c>
      <c r="D37" s="22">
        <f>D32*(60%)*D30/1000</f>
        <v>-5750.7840000000006</v>
      </c>
      <c r="E37" s="22">
        <f>E32*(10%)*E30/1000</f>
        <v>-1848.2380800000005</v>
      </c>
      <c r="F37" s="22">
        <f>F32*(10%)*F30/1000</f>
        <v>-1371.4341888000006</v>
      </c>
      <c r="J37">
        <f>(1+200%)</f>
        <v>3</v>
      </c>
    </row>
    <row r="38" spans="1:16" x14ac:dyDescent="0.25">
      <c r="A38" s="22" t="s">
        <v>28</v>
      </c>
      <c r="B38" s="22"/>
      <c r="C38" s="37">
        <v>-2700</v>
      </c>
      <c r="D38" s="37">
        <f>C38*(1+$I$38)</f>
        <v>-2970.0000000000005</v>
      </c>
      <c r="E38" s="37">
        <f>D38*(1+$I$38)</f>
        <v>-3267.0000000000009</v>
      </c>
      <c r="F38" s="37">
        <f>E38*(1+$I$38)</f>
        <v>-3593.7000000000012</v>
      </c>
      <c r="I38" s="4">
        <v>0.1</v>
      </c>
    </row>
    <row r="39" spans="1:16" x14ac:dyDescent="0.25">
      <c r="A39" s="22" t="s">
        <v>45</v>
      </c>
      <c r="B39" s="22"/>
      <c r="C39" s="22">
        <f>SUM(C34:C38)</f>
        <v>-8982</v>
      </c>
      <c r="D39" s="22">
        <f>SUM(D34:D38)</f>
        <v>1327.7759999999985</v>
      </c>
      <c r="E39" s="22">
        <f>SUM(E34:E38)</f>
        <v>20980.989119999998</v>
      </c>
      <c r="F39" s="22">
        <f>SUM(F34:F38)</f>
        <v>7466.5456831999963</v>
      </c>
    </row>
    <row r="40" spans="1:16" x14ac:dyDescent="0.25">
      <c r="A40" s="22" t="s">
        <v>42</v>
      </c>
      <c r="B40" s="22"/>
      <c r="C40" s="37">
        <f>C39*-0.2</f>
        <v>1796.4</v>
      </c>
      <c r="D40" s="37">
        <f>D39*-0.2</f>
        <v>-265.55519999999973</v>
      </c>
      <c r="E40" s="37">
        <f>E39*-0.2</f>
        <v>-4196.1978239999999</v>
      </c>
      <c r="F40" s="37">
        <f>F39*-0.2</f>
        <v>-1493.3091366399995</v>
      </c>
      <c r="N40">
        <f>B44*0.1</f>
        <v>-103.2</v>
      </c>
      <c r="O40">
        <f>SUM(B44:C44)*0.1</f>
        <v>-300.43200000000002</v>
      </c>
      <c r="P40">
        <f>O40</f>
        <v>-300.43200000000002</v>
      </c>
    </row>
    <row r="41" spans="1:16" x14ac:dyDescent="0.25">
      <c r="A41" s="22" t="s">
        <v>43</v>
      </c>
      <c r="B41" s="22"/>
      <c r="C41" s="22">
        <f>SUM(C39:C40)</f>
        <v>-7185.6</v>
      </c>
      <c r="D41" s="22">
        <f>SUM(D39:D40)</f>
        <v>1062.2207999999987</v>
      </c>
      <c r="E41" s="22">
        <f>SUM(E39:E40)</f>
        <v>16784.791295999999</v>
      </c>
      <c r="F41" s="22">
        <f>SUM(F39:F40)</f>
        <v>5973.2365465599969</v>
      </c>
      <c r="H41" s="14" t="s">
        <v>112</v>
      </c>
      <c r="I41" s="14"/>
      <c r="N41">
        <f>N40*N33</f>
        <v>-2035434.2400000002</v>
      </c>
      <c r="O41">
        <f>O40*O33</f>
        <v>-7494398.8162560007</v>
      </c>
      <c r="P41" t="s">
        <v>107</v>
      </c>
    </row>
    <row r="42" spans="1:16" x14ac:dyDescent="0.25">
      <c r="A42" s="22" t="str">
        <f>A35</f>
        <v>Dep</v>
      </c>
      <c r="B42" s="22"/>
      <c r="C42" s="22">
        <f>-C35</f>
        <v>5250</v>
      </c>
      <c r="D42" s="22">
        <f t="shared" ref="D42:F43" si="0">-D35</f>
        <v>5250</v>
      </c>
      <c r="E42" s="22">
        <f t="shared" si="0"/>
        <v>5250</v>
      </c>
      <c r="F42" s="22">
        <f t="shared" si="0"/>
        <v>5250</v>
      </c>
    </row>
    <row r="43" spans="1:16" x14ac:dyDescent="0.25">
      <c r="A43" s="22" t="str">
        <f>A36</f>
        <v>Loss on sale of Machine</v>
      </c>
      <c r="B43" s="22"/>
      <c r="C43" s="22"/>
      <c r="D43" s="22"/>
      <c r="E43" s="22"/>
      <c r="F43" s="22">
        <f t="shared" si="0"/>
        <v>7000</v>
      </c>
    </row>
    <row r="44" spans="1:16" x14ac:dyDescent="0.25">
      <c r="A44" s="22" t="s">
        <v>21</v>
      </c>
      <c r="B44" s="22">
        <f>M32*-0.2</f>
        <v>-1032</v>
      </c>
      <c r="C44" s="22">
        <f>N34</f>
        <v>-1972.3200000000002</v>
      </c>
      <c r="D44" s="22">
        <f>O34</f>
        <v>-2494.5408000000002</v>
      </c>
      <c r="E44" s="22">
        <f>P34</f>
        <v>1143.2586239999998</v>
      </c>
      <c r="F44" s="22">
        <f>-SUM(B44:E44)</f>
        <v>4355.6021760000003</v>
      </c>
    </row>
    <row r="45" spans="1:16" x14ac:dyDescent="0.25">
      <c r="A45" s="22" t="s">
        <v>19</v>
      </c>
      <c r="B45" s="37">
        <v>-35000</v>
      </c>
      <c r="C45" s="37"/>
      <c r="D45" s="37"/>
      <c r="E45" s="37"/>
      <c r="F45" s="37">
        <v>7000</v>
      </c>
      <c r="H45" t="s">
        <v>113</v>
      </c>
      <c r="I45" s="38">
        <f>-B45</f>
        <v>35000</v>
      </c>
    </row>
    <row r="46" spans="1:16" x14ac:dyDescent="0.25">
      <c r="H46" t="s">
        <v>114</v>
      </c>
      <c r="I46" s="38">
        <f>SUM(C35:F35)</f>
        <v>-21000</v>
      </c>
    </row>
    <row r="47" spans="1:16" x14ac:dyDescent="0.25">
      <c r="A47" t="s">
        <v>68</v>
      </c>
      <c r="B47">
        <f>SUM(B41:B45)</f>
        <v>-36032</v>
      </c>
      <c r="C47">
        <f>SUM(C41:C45)</f>
        <v>-3907.9200000000005</v>
      </c>
      <c r="D47">
        <f>SUM(D41:D45)</f>
        <v>3817.6799999999989</v>
      </c>
      <c r="E47">
        <f>SUM(E41:E45)</f>
        <v>23178.049919999998</v>
      </c>
      <c r="F47">
        <f>SUM(F41:F45)</f>
        <v>29578.838722559998</v>
      </c>
      <c r="I47" s="38">
        <f>-SUM(I45:I46)</f>
        <v>-14000</v>
      </c>
    </row>
    <row r="48" spans="1:16" x14ac:dyDescent="0.25">
      <c r="A48" t="s">
        <v>109</v>
      </c>
      <c r="B48" s="36">
        <f>1/(1+11%)^B29</f>
        <v>1</v>
      </c>
      <c r="C48" s="36">
        <f>1/(1+11%)^C29</f>
        <v>0.9009009009009008</v>
      </c>
      <c r="D48" s="36">
        <f>1/(1+11%)^D29</f>
        <v>0.8116224332440547</v>
      </c>
      <c r="E48" s="36">
        <f>1/(1+11%)^E29</f>
        <v>0.73119138130095018</v>
      </c>
      <c r="F48" s="36">
        <f>1/(1+11%)^F29</f>
        <v>0.65873097414500015</v>
      </c>
      <c r="H48" t="s">
        <v>115</v>
      </c>
      <c r="I48" s="38">
        <f>F45</f>
        <v>7000</v>
      </c>
    </row>
    <row r="49" spans="1:9" x14ac:dyDescent="0.25">
      <c r="B49">
        <f>B47*B48</f>
        <v>-36032</v>
      </c>
      <c r="C49">
        <f>C47*C48</f>
        <v>-3520.6486486486488</v>
      </c>
      <c r="D49">
        <f>D47*D48</f>
        <v>3098.5147309471618</v>
      </c>
      <c r="E49">
        <f>E47*E48</f>
        <v>16947.590336867175</v>
      </c>
      <c r="F49">
        <f>F47*F48</f>
        <v>19484.4972457898</v>
      </c>
      <c r="H49" t="s">
        <v>116</v>
      </c>
      <c r="I49" s="38">
        <f>SUM(I47:I48)</f>
        <v>-7000</v>
      </c>
    </row>
    <row r="50" spans="1:9" x14ac:dyDescent="0.25">
      <c r="A50" s="36">
        <f>NPV(B48,C47:F47)+B47</f>
        <v>-32285.60633984</v>
      </c>
    </row>
    <row r="52" spans="1:9" x14ac:dyDescent="0.25">
      <c r="A52">
        <f>SUM(B49:F49)</f>
        <v>-22.046335044506122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topLeftCell="A47" workbookViewId="0">
      <selection activeCell="B67" sqref="B67"/>
    </sheetView>
  </sheetViews>
  <sheetFormatPr defaultRowHeight="15" x14ac:dyDescent="0.25"/>
  <cols>
    <col min="1" max="1" width="10.85546875" bestFit="1" customWidth="1"/>
    <col min="2" max="2" width="12" bestFit="1" customWidth="1"/>
  </cols>
  <sheetData>
    <row r="1" spans="1:6" x14ac:dyDescent="0.25">
      <c r="A1" t="s">
        <v>118</v>
      </c>
    </row>
    <row r="2" spans="1:6" x14ac:dyDescent="0.25">
      <c r="A2" t="s">
        <v>119</v>
      </c>
    </row>
    <row r="3" spans="1:6" x14ac:dyDescent="0.25">
      <c r="A3" t="s">
        <v>120</v>
      </c>
    </row>
    <row r="4" spans="1:6" x14ac:dyDescent="0.25">
      <c r="A4" t="s">
        <v>121</v>
      </c>
    </row>
    <row r="5" spans="1:6" x14ac:dyDescent="0.25">
      <c r="A5" t="s">
        <v>122</v>
      </c>
    </row>
    <row r="6" spans="1:6" x14ac:dyDescent="0.25">
      <c r="A6" t="s">
        <v>123</v>
      </c>
    </row>
    <row r="7" spans="1:6" x14ac:dyDescent="0.25">
      <c r="A7" t="s">
        <v>124</v>
      </c>
    </row>
    <row r="8" spans="1:6" x14ac:dyDescent="0.25">
      <c r="A8" t="s">
        <v>125</v>
      </c>
    </row>
    <row r="10" spans="1:6" x14ac:dyDescent="0.25">
      <c r="A10" t="s">
        <v>120</v>
      </c>
    </row>
    <row r="11" spans="1:6" x14ac:dyDescent="0.25">
      <c r="A11" t="s">
        <v>62</v>
      </c>
    </row>
    <row r="12" spans="1:6" x14ac:dyDescent="0.25">
      <c r="A12" t="s">
        <v>126</v>
      </c>
      <c r="B12" t="s">
        <v>127</v>
      </c>
      <c r="E12" t="s">
        <v>141</v>
      </c>
    </row>
    <row r="13" spans="1:6" x14ac:dyDescent="0.25">
      <c r="A13" t="s">
        <v>133</v>
      </c>
      <c r="B13">
        <v>192.3</v>
      </c>
      <c r="E13" t="s">
        <v>133</v>
      </c>
      <c r="F13">
        <v>192.3</v>
      </c>
    </row>
    <row r="14" spans="1:6" x14ac:dyDescent="0.25">
      <c r="A14" t="s">
        <v>108</v>
      </c>
      <c r="B14" s="3">
        <f>B13*F17%</f>
        <v>-38.392348284960413</v>
      </c>
      <c r="C14" s="40" t="s">
        <v>137</v>
      </c>
      <c r="E14" t="s">
        <v>142</v>
      </c>
      <c r="F14" s="3">
        <v>-78.599999999999994</v>
      </c>
    </row>
    <row r="15" spans="1:6" x14ac:dyDescent="0.25">
      <c r="A15" t="s">
        <v>43</v>
      </c>
      <c r="B15">
        <f>SUM(B13:B14)</f>
        <v>153.90765171503961</v>
      </c>
      <c r="E15" t="s">
        <v>45</v>
      </c>
      <c r="F15">
        <f>SUM(F13:F14)</f>
        <v>113.70000000000002</v>
      </c>
    </row>
    <row r="16" spans="1:6" x14ac:dyDescent="0.25">
      <c r="A16" t="s">
        <v>128</v>
      </c>
      <c r="B16">
        <v>112</v>
      </c>
      <c r="E16" t="s">
        <v>143</v>
      </c>
      <c r="F16">
        <v>-22.7</v>
      </c>
    </row>
    <row r="17" spans="1:9" x14ac:dyDescent="0.25">
      <c r="A17" t="s">
        <v>129</v>
      </c>
      <c r="B17" s="3">
        <v>-98.2</v>
      </c>
      <c r="E17" t="s">
        <v>144</v>
      </c>
      <c r="F17">
        <f>F16/F15*100</f>
        <v>-19.964819700967453</v>
      </c>
    </row>
    <row r="18" spans="1:9" x14ac:dyDescent="0.25">
      <c r="B18">
        <f>SUM(B15:B17)</f>
        <v>167.70765171503962</v>
      </c>
    </row>
    <row r="19" spans="1:9" x14ac:dyDescent="0.25">
      <c r="H19" t="s">
        <v>130</v>
      </c>
      <c r="I19" t="s">
        <v>132</v>
      </c>
    </row>
    <row r="20" spans="1:9" x14ac:dyDescent="0.25">
      <c r="G20" t="s">
        <v>43</v>
      </c>
      <c r="H20">
        <v>83.3</v>
      </c>
      <c r="I20">
        <v>91</v>
      </c>
    </row>
    <row r="21" spans="1:9" x14ac:dyDescent="0.25">
      <c r="G21" t="s">
        <v>140</v>
      </c>
      <c r="H21" s="11">
        <f>(I20/H20)^(1/3)-1</f>
        <v>2.9908866411286095E-2</v>
      </c>
    </row>
    <row r="24" spans="1:9" x14ac:dyDescent="0.25">
      <c r="A24" t="s">
        <v>131</v>
      </c>
      <c r="B24" s="4">
        <v>0.1</v>
      </c>
    </row>
    <row r="26" spans="1:9" x14ac:dyDescent="0.25">
      <c r="A26" t="s">
        <v>134</v>
      </c>
      <c r="B26">
        <f>(B18*(1+H21))/(B24-H21)</f>
        <v>2464.2717077434631</v>
      </c>
    </row>
    <row r="27" spans="1:9" x14ac:dyDescent="0.25">
      <c r="A27" t="s">
        <v>135</v>
      </c>
      <c r="B27">
        <f>B26*-0.6</f>
        <v>-1478.5630246460778</v>
      </c>
    </row>
    <row r="28" spans="1:9" x14ac:dyDescent="0.25">
      <c r="A28" t="s">
        <v>139</v>
      </c>
      <c r="B28" s="3"/>
      <c r="C28" s="40" t="s">
        <v>138</v>
      </c>
      <c r="D28" s="40"/>
      <c r="E28" s="40"/>
      <c r="F28" s="40"/>
      <c r="G28" s="40"/>
      <c r="H28" s="40"/>
    </row>
    <row r="29" spans="1:9" x14ac:dyDescent="0.25">
      <c r="A29" t="s">
        <v>136</v>
      </c>
      <c r="B29">
        <f>SUM(B26:B28)</f>
        <v>985.70868309738535</v>
      </c>
    </row>
    <row r="31" spans="1:9" x14ac:dyDescent="0.25">
      <c r="A31" t="s">
        <v>121</v>
      </c>
    </row>
    <row r="32" spans="1:9" x14ac:dyDescent="0.25">
      <c r="A32" t="s">
        <v>122</v>
      </c>
    </row>
    <row r="33" spans="1:9" x14ac:dyDescent="0.25">
      <c r="H33" s="2" t="s">
        <v>151</v>
      </c>
      <c r="I33" s="2" t="s">
        <v>152</v>
      </c>
    </row>
    <row r="34" spans="1:9" x14ac:dyDescent="0.25">
      <c r="A34" s="2" t="s">
        <v>157</v>
      </c>
      <c r="G34" t="s">
        <v>136</v>
      </c>
      <c r="H34">
        <v>12600</v>
      </c>
      <c r="I34">
        <f>B29</f>
        <v>985.70868309738535</v>
      </c>
    </row>
    <row r="35" spans="1:9" x14ac:dyDescent="0.25">
      <c r="A35" t="s">
        <v>147</v>
      </c>
      <c r="B35" t="s">
        <v>148</v>
      </c>
      <c r="G35" t="s">
        <v>153</v>
      </c>
      <c r="H35">
        <v>1.0740000000000001</v>
      </c>
      <c r="I35">
        <v>2.09</v>
      </c>
    </row>
    <row r="36" spans="1:9" x14ac:dyDescent="0.25">
      <c r="A36" t="s">
        <v>150</v>
      </c>
      <c r="B36">
        <f>I34*0.3</f>
        <v>295.71260492921562</v>
      </c>
      <c r="G36" t="s">
        <v>154</v>
      </c>
      <c r="H36">
        <v>0.8</v>
      </c>
      <c r="I36">
        <v>0.95</v>
      </c>
    </row>
    <row r="37" spans="1:9" x14ac:dyDescent="0.25">
      <c r="A37" t="s">
        <v>65</v>
      </c>
      <c r="B37" s="4">
        <v>0.02</v>
      </c>
      <c r="G37" t="s">
        <v>149</v>
      </c>
      <c r="H37" s="13">
        <v>5.2999999999999999E-2</v>
      </c>
    </row>
    <row r="38" spans="1:9" x14ac:dyDescent="0.25">
      <c r="A38" t="s">
        <v>155</v>
      </c>
      <c r="B38" s="4">
        <v>7.0000000000000007E-2</v>
      </c>
    </row>
    <row r="39" spans="1:9" x14ac:dyDescent="0.25">
      <c r="A39" t="s">
        <v>156</v>
      </c>
      <c r="B39" s="4">
        <v>0.2</v>
      </c>
    </row>
    <row r="40" spans="1:9" x14ac:dyDescent="0.25">
      <c r="A40" t="s">
        <v>109</v>
      </c>
      <c r="B40" s="4">
        <v>0.08</v>
      </c>
    </row>
    <row r="42" spans="1:9" x14ac:dyDescent="0.25">
      <c r="A42" s="2" t="s">
        <v>158</v>
      </c>
      <c r="B42">
        <v>1</v>
      </c>
      <c r="C42">
        <f>1+B42</f>
        <v>2</v>
      </c>
      <c r="D42">
        <f>1+C42</f>
        <v>3</v>
      </c>
      <c r="E42">
        <f>1+D42</f>
        <v>4</v>
      </c>
    </row>
    <row r="43" spans="1:9" x14ac:dyDescent="0.25">
      <c r="A43" t="s">
        <v>145</v>
      </c>
      <c r="B43" s="3">
        <v>4200</v>
      </c>
      <c r="C43" s="3">
        <f>B43*1.07</f>
        <v>4494</v>
      </c>
      <c r="D43" s="3">
        <f>C43*1.07</f>
        <v>4808.58</v>
      </c>
      <c r="E43" s="3">
        <f>D43*1.07</f>
        <v>5145.1806000000006</v>
      </c>
    </row>
    <row r="44" spans="1:9" x14ac:dyDescent="0.25">
      <c r="A44" t="s">
        <v>45</v>
      </c>
      <c r="B44" s="3">
        <f>B43*0.2</f>
        <v>840</v>
      </c>
      <c r="C44" s="3">
        <f>C43*0.2</f>
        <v>898.80000000000007</v>
      </c>
      <c r="D44" s="3">
        <f>D43*0.2</f>
        <v>961.71600000000001</v>
      </c>
      <c r="E44" s="3">
        <f>E43*0.2</f>
        <v>1029.0361200000002</v>
      </c>
    </row>
    <row r="45" spans="1:9" x14ac:dyDescent="0.25">
      <c r="A45" t="s">
        <v>43</v>
      </c>
      <c r="B45">
        <f>B44*(1-$B$39)</f>
        <v>672</v>
      </c>
      <c r="C45">
        <f>C44*(1-$B$39)</f>
        <v>719.04000000000008</v>
      </c>
      <c r="D45">
        <f>D44*(1-$B$39)</f>
        <v>769.3728000000001</v>
      </c>
      <c r="E45">
        <f>E44*(1-$B$39)</f>
        <v>823.22889600000019</v>
      </c>
      <c r="G45" t="s">
        <v>146</v>
      </c>
      <c r="H45" s="13">
        <v>5.6000000000000001E-2</v>
      </c>
    </row>
    <row r="47" spans="1:9" x14ac:dyDescent="0.25">
      <c r="A47" t="s">
        <v>9</v>
      </c>
      <c r="B47" s="3">
        <v>-200</v>
      </c>
      <c r="C47">
        <f>(C43-B43)*-0.64</f>
        <v>-188.16</v>
      </c>
      <c r="D47">
        <f>(D43-C43)*-0.64</f>
        <v>-201.33119999999997</v>
      </c>
      <c r="E47">
        <f>(E43-D43)*-0.64</f>
        <v>-215.42438400000043</v>
      </c>
      <c r="G47">
        <f>E48*(1+H45)</f>
        <v>641.84156467199966</v>
      </c>
    </row>
    <row r="48" spans="1:9" ht="15.75" thickBot="1" x14ac:dyDescent="0.3">
      <c r="A48" t="s">
        <v>75</v>
      </c>
      <c r="B48">
        <f>SUM(B45:B47)</f>
        <v>472</v>
      </c>
      <c r="C48">
        <f>SUM(C45:C47)</f>
        <v>530.88000000000011</v>
      </c>
      <c r="D48">
        <f>SUM(D45:D47)</f>
        <v>568.04160000000013</v>
      </c>
      <c r="E48">
        <f>SUM(E45:E47)</f>
        <v>607.8045119999997</v>
      </c>
      <c r="G48" s="41">
        <f>8%-H45</f>
        <v>2.4E-2</v>
      </c>
    </row>
    <row r="49" spans="1:14" x14ac:dyDescent="0.25">
      <c r="B49" s="3"/>
      <c r="F49" s="42" t="s">
        <v>160</v>
      </c>
      <c r="G49" s="43">
        <f>G47/G48</f>
        <v>26743.398527999987</v>
      </c>
      <c r="H49" s="43"/>
      <c r="I49" s="43"/>
      <c r="J49" s="43"/>
      <c r="K49" s="43"/>
      <c r="L49" s="43"/>
      <c r="M49" s="43"/>
      <c r="N49" s="44"/>
    </row>
    <row r="50" spans="1:14" ht="15.75" thickBot="1" x14ac:dyDescent="0.3">
      <c r="B50" s="6">
        <f>NPV(B40,B48:E48)</f>
        <v>1789.8652672639105</v>
      </c>
      <c r="F50" s="45"/>
      <c r="G50" s="46">
        <f>1/(1+8%)^4</f>
        <v>0.73502985279645328</v>
      </c>
      <c r="H50" s="46" t="s">
        <v>159</v>
      </c>
      <c r="I50" s="46"/>
      <c r="J50" s="46"/>
      <c r="K50" s="46"/>
      <c r="L50" s="46"/>
      <c r="M50" s="46"/>
      <c r="N50" s="47"/>
    </row>
    <row r="51" spans="1:14" x14ac:dyDescent="0.25">
      <c r="A51" s="2" t="s">
        <v>157</v>
      </c>
      <c r="B51">
        <f>G49*G50</f>
        <v>19657.196283312715</v>
      </c>
    </row>
    <row r="52" spans="1:14" x14ac:dyDescent="0.25">
      <c r="A52" t="s">
        <v>161</v>
      </c>
      <c r="B52" s="6">
        <f>SUM(B50:B51)</f>
        <v>21447.061550576625</v>
      </c>
    </row>
    <row r="53" spans="1:14" x14ac:dyDescent="0.25">
      <c r="A53" t="s">
        <v>162</v>
      </c>
      <c r="B53" s="6">
        <f>B52*0.7</f>
        <v>15012.943085403636</v>
      </c>
    </row>
    <row r="55" spans="1:14" x14ac:dyDescent="0.25">
      <c r="A55" t="str">
        <f>H33</f>
        <v>C</v>
      </c>
      <c r="B55">
        <f>H34</f>
        <v>12600</v>
      </c>
    </row>
    <row r="56" spans="1:14" x14ac:dyDescent="0.25">
      <c r="A56" t="s">
        <v>152</v>
      </c>
      <c r="B56" s="3">
        <f>B29</f>
        <v>985.70868309738535</v>
      </c>
    </row>
    <row r="57" spans="1:14" x14ac:dyDescent="0.25">
      <c r="B57">
        <f>SUM(B55:B56)</f>
        <v>13585.708683097386</v>
      </c>
    </row>
    <row r="59" spans="1:14" x14ac:dyDescent="0.25">
      <c r="A59" t="s">
        <v>163</v>
      </c>
      <c r="B59" s="6">
        <f>B53-B57</f>
        <v>1427.2344023062506</v>
      </c>
    </row>
    <row r="61" spans="1:14" x14ac:dyDescent="0.25">
      <c r="A61" t="s">
        <v>164</v>
      </c>
    </row>
    <row r="62" spans="1:14" x14ac:dyDescent="0.25">
      <c r="A62" t="s">
        <v>165</v>
      </c>
    </row>
    <row r="65" spans="1:2" x14ac:dyDescent="0.25">
      <c r="A65" t="str">
        <f>A59</f>
        <v>overall gain</v>
      </c>
      <c r="B65">
        <f>B59</f>
        <v>1427.2344023062506</v>
      </c>
    </row>
    <row r="66" spans="1:2" x14ac:dyDescent="0.25">
      <c r="A66" t="s">
        <v>168</v>
      </c>
      <c r="B66" s="3">
        <f>-B36</f>
        <v>-295.71260492921562</v>
      </c>
    </row>
    <row r="67" spans="1:2" x14ac:dyDescent="0.25">
      <c r="A67" t="s">
        <v>169</v>
      </c>
      <c r="B67">
        <f>SUM(B65:B66)</f>
        <v>1131.521797377035</v>
      </c>
    </row>
    <row r="85" spans="1:1" x14ac:dyDescent="0.25">
      <c r="A85" t="s">
        <v>166</v>
      </c>
    </row>
    <row r="86" spans="1:1" x14ac:dyDescent="0.25">
      <c r="A86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3"/>
  <sheetViews>
    <sheetView workbookViewId="0">
      <selection activeCell="A17" sqref="A17"/>
    </sheetView>
  </sheetViews>
  <sheetFormatPr defaultRowHeight="15" x14ac:dyDescent="0.25"/>
  <cols>
    <col min="3" max="3" width="12" bestFit="1" customWidth="1"/>
    <col min="4" max="4" width="4" customWidth="1"/>
  </cols>
  <sheetData>
    <row r="2" spans="1:10" x14ac:dyDescent="0.25">
      <c r="A2" s="2" t="s">
        <v>263</v>
      </c>
      <c r="J2" t="s">
        <v>264</v>
      </c>
    </row>
    <row r="3" spans="1:10" x14ac:dyDescent="0.25">
      <c r="A3" t="s">
        <v>262</v>
      </c>
      <c r="J3" t="s">
        <v>265</v>
      </c>
    </row>
    <row r="4" spans="1:10" x14ac:dyDescent="0.25">
      <c r="B4" t="s">
        <v>268</v>
      </c>
      <c r="C4" t="s">
        <v>270</v>
      </c>
      <c r="D4" t="s">
        <v>272</v>
      </c>
      <c r="J4" t="s">
        <v>266</v>
      </c>
    </row>
    <row r="5" spans="1:10" x14ac:dyDescent="0.25">
      <c r="A5" t="s">
        <v>136</v>
      </c>
      <c r="B5">
        <f>90*2</f>
        <v>180</v>
      </c>
      <c r="C5">
        <f>B5/3</f>
        <v>60</v>
      </c>
      <c r="D5" s="1">
        <f>SUM(B5:C5)</f>
        <v>240</v>
      </c>
      <c r="J5" t="s">
        <v>267</v>
      </c>
    </row>
    <row r="6" spans="1:10" x14ac:dyDescent="0.25">
      <c r="A6" t="s">
        <v>135</v>
      </c>
      <c r="B6">
        <v>135</v>
      </c>
      <c r="C6">
        <v>0</v>
      </c>
      <c r="D6" s="1">
        <f>SUM(B6:C6)</f>
        <v>135</v>
      </c>
    </row>
    <row r="8" spans="1:10" x14ac:dyDescent="0.25">
      <c r="A8" t="s">
        <v>269</v>
      </c>
      <c r="B8" s="4">
        <v>0.08</v>
      </c>
    </row>
    <row r="9" spans="1:10" x14ac:dyDescent="0.25">
      <c r="A9" t="s">
        <v>273</v>
      </c>
      <c r="B9">
        <v>0.74</v>
      </c>
      <c r="C9" t="s">
        <v>271</v>
      </c>
      <c r="D9">
        <f>88.8/0.74</f>
        <v>120</v>
      </c>
    </row>
    <row r="10" spans="1:10" x14ac:dyDescent="0.25">
      <c r="A10" t="s">
        <v>273</v>
      </c>
      <c r="B10">
        <v>0.74</v>
      </c>
    </row>
    <row r="11" spans="1:10" x14ac:dyDescent="0.25">
      <c r="B11" t="s">
        <v>280</v>
      </c>
      <c r="C11" t="s">
        <v>274</v>
      </c>
      <c r="D11" t="s">
        <v>281</v>
      </c>
      <c r="E11" t="s">
        <v>106</v>
      </c>
    </row>
    <row r="12" spans="1:10" x14ac:dyDescent="0.25">
      <c r="A12" t="s">
        <v>145</v>
      </c>
      <c r="B12" s="3">
        <f>D12*(1+C12)</f>
        <v>540.80000000000007</v>
      </c>
      <c r="C12" s="4">
        <v>0.04</v>
      </c>
      <c r="D12">
        <v>520</v>
      </c>
      <c r="E12">
        <f>B12-D12</f>
        <v>20.800000000000068</v>
      </c>
    </row>
    <row r="13" spans="1:10" x14ac:dyDescent="0.25">
      <c r="A13" t="s">
        <v>133</v>
      </c>
      <c r="B13">
        <f>B12*0.2</f>
        <v>108.16000000000003</v>
      </c>
    </row>
    <row r="14" spans="1:10" x14ac:dyDescent="0.25">
      <c r="A14" t="s">
        <v>108</v>
      </c>
      <c r="B14">
        <f>-C14</f>
        <v>-29.208000000000006</v>
      </c>
      <c r="C14">
        <f>(B13-B6*B8)*0.3</f>
        <v>29.208000000000006</v>
      </c>
      <c r="G14" s="2" t="s">
        <v>277</v>
      </c>
    </row>
    <row r="15" spans="1:10" x14ac:dyDescent="0.25">
      <c r="A15" t="s">
        <v>196</v>
      </c>
      <c r="B15">
        <v>30</v>
      </c>
      <c r="G15" t="s">
        <v>179</v>
      </c>
      <c r="H15">
        <v>35</v>
      </c>
    </row>
    <row r="16" spans="1:10" x14ac:dyDescent="0.25">
      <c r="A16" t="s">
        <v>276</v>
      </c>
      <c r="B16">
        <v>-5.9</v>
      </c>
      <c r="G16" t="s">
        <v>114</v>
      </c>
      <c r="H16" s="3">
        <v>-24.6</v>
      </c>
    </row>
    <row r="17" spans="1:10" x14ac:dyDescent="0.25">
      <c r="A17" t="s">
        <v>282</v>
      </c>
      <c r="B17">
        <f>-J22</f>
        <v>-4.2307692307692406</v>
      </c>
      <c r="G17" t="s">
        <v>275</v>
      </c>
      <c r="H17">
        <f>SUM(H15:H16)</f>
        <v>10.399999999999999</v>
      </c>
    </row>
    <row r="18" spans="1:10" x14ac:dyDescent="0.25">
      <c r="A18" t="str">
        <f>G23</f>
        <v>WC</v>
      </c>
      <c r="B18">
        <f>H23</f>
        <v>-3.1200000000000103</v>
      </c>
      <c r="G18" t="str">
        <f>A16</f>
        <v>Profit on disposal (W1)</v>
      </c>
      <c r="H18" s="3">
        <f>-B16</f>
        <v>5.9</v>
      </c>
    </row>
    <row r="19" spans="1:10" x14ac:dyDescent="0.25">
      <c r="A19" t="str">
        <f>G19</f>
        <v>SP</v>
      </c>
      <c r="B19">
        <f>H19</f>
        <v>16.299999999999997</v>
      </c>
      <c r="G19" t="s">
        <v>27</v>
      </c>
      <c r="H19" s="3">
        <f>SUM(H17:H18)</f>
        <v>16.299999999999997</v>
      </c>
    </row>
    <row r="20" spans="1:10" x14ac:dyDescent="0.25">
      <c r="A20" t="s">
        <v>283</v>
      </c>
      <c r="B20" s="3">
        <f>45*0.8*0.95*0.6</f>
        <v>20.519999999999996</v>
      </c>
    </row>
    <row r="21" spans="1:10" x14ac:dyDescent="0.25">
      <c r="B21" s="3">
        <f>SUM(B13:B20)</f>
        <v>132.52123076923078</v>
      </c>
      <c r="G21" s="2" t="s">
        <v>278</v>
      </c>
      <c r="H21" s="3" t="s">
        <v>279</v>
      </c>
      <c r="I21" t="s">
        <v>281</v>
      </c>
    </row>
    <row r="22" spans="1:10" x14ac:dyDescent="0.25">
      <c r="A22" t="str">
        <f>A6</f>
        <v>D</v>
      </c>
      <c r="B22">
        <f>-B6</f>
        <v>-135</v>
      </c>
      <c r="G22" t="s">
        <v>275</v>
      </c>
      <c r="H22">
        <v>110</v>
      </c>
      <c r="I22">
        <f>H22/1.04</f>
        <v>105.76923076923076</v>
      </c>
      <c r="J22">
        <f>H22-I22</f>
        <v>4.2307692307692406</v>
      </c>
    </row>
    <row r="23" spans="1:10" x14ac:dyDescent="0.25">
      <c r="G23" t="s">
        <v>21</v>
      </c>
      <c r="H23">
        <f>-0.15*E12</f>
        <v>-3.1200000000000103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activeCell="C13" sqref="C13"/>
    </sheetView>
  </sheetViews>
  <sheetFormatPr defaultRowHeight="15" x14ac:dyDescent="0.25"/>
  <cols>
    <col min="1" max="1" width="35.7109375" bestFit="1" customWidth="1"/>
    <col min="2" max="2" width="10.85546875" bestFit="1" customWidth="1"/>
    <col min="5" max="5" width="9.140625" style="14"/>
  </cols>
  <sheetData>
    <row r="1" spans="1:3" x14ac:dyDescent="0.25">
      <c r="A1" t="s">
        <v>284</v>
      </c>
    </row>
    <row r="4" spans="1:3" x14ac:dyDescent="0.25">
      <c r="A4" t="s">
        <v>286</v>
      </c>
    </row>
    <row r="5" spans="1:3" x14ac:dyDescent="0.25">
      <c r="A5" t="s">
        <v>287</v>
      </c>
    </row>
    <row r="6" spans="1:3" x14ac:dyDescent="0.25">
      <c r="A6" t="s">
        <v>285</v>
      </c>
    </row>
    <row r="8" spans="1:3" x14ac:dyDescent="0.25">
      <c r="A8" s="2" t="s">
        <v>288</v>
      </c>
    </row>
    <row r="9" spans="1:3" x14ac:dyDescent="0.25">
      <c r="A9" t="s">
        <v>325</v>
      </c>
    </row>
    <row r="11" spans="1:3" x14ac:dyDescent="0.25">
      <c r="A11" s="2" t="s">
        <v>52</v>
      </c>
    </row>
    <row r="12" spans="1:3" x14ac:dyDescent="0.25">
      <c r="A12" s="1" t="s">
        <v>290</v>
      </c>
      <c r="B12" s="6">
        <f>A42</f>
        <v>-918.87444696121747</v>
      </c>
      <c r="C12">
        <v>-927</v>
      </c>
    </row>
    <row r="13" spans="1:3" x14ac:dyDescent="0.25">
      <c r="A13" s="1" t="s">
        <v>289</v>
      </c>
      <c r="B13" s="3">
        <f>B62</f>
        <v>1577.159959805108</v>
      </c>
      <c r="C13">
        <v>1577</v>
      </c>
    </row>
    <row r="14" spans="1:3" x14ac:dyDescent="0.25">
      <c r="B14" s="70">
        <f>SUM(B12:B13)</f>
        <v>658.2855128438905</v>
      </c>
      <c r="C14" s="70">
        <f>SUM(C12:C13)</f>
        <v>650</v>
      </c>
    </row>
    <row r="15" spans="1:3" x14ac:dyDescent="0.25">
      <c r="C15" s="3">
        <f>SUM(C12:C13)</f>
        <v>650</v>
      </c>
    </row>
    <row r="16" spans="1:3" x14ac:dyDescent="0.25">
      <c r="A16" s="1" t="s">
        <v>290</v>
      </c>
    </row>
    <row r="18" spans="1:17" x14ac:dyDescent="0.25">
      <c r="B18" s="2">
        <v>0</v>
      </c>
      <c r="C18" s="2">
        <f>1+B18</f>
        <v>1</v>
      </c>
      <c r="D18" s="2">
        <f t="shared" ref="D18:F18" si="0">1+C18</f>
        <v>2</v>
      </c>
      <c r="E18" s="71">
        <f t="shared" si="0"/>
        <v>3</v>
      </c>
      <c r="F18" s="2">
        <f t="shared" si="0"/>
        <v>4</v>
      </c>
      <c r="G18">
        <v>5</v>
      </c>
    </row>
    <row r="19" spans="1:17" x14ac:dyDescent="0.25">
      <c r="A19" t="s">
        <v>291</v>
      </c>
      <c r="C19">
        <v>2000</v>
      </c>
      <c r="D19">
        <v>14500</v>
      </c>
      <c r="E19" s="14">
        <v>15225</v>
      </c>
      <c r="F19">
        <v>15834</v>
      </c>
      <c r="M19" s="2">
        <v>0</v>
      </c>
      <c r="N19" s="2">
        <f>1+M19</f>
        <v>1</v>
      </c>
      <c r="O19" s="2">
        <f t="shared" ref="O19:Q19" si="1">1+N19</f>
        <v>2</v>
      </c>
      <c r="P19" s="2">
        <f t="shared" si="1"/>
        <v>3</v>
      </c>
      <c r="Q19" s="2">
        <f t="shared" si="1"/>
        <v>4</v>
      </c>
    </row>
    <row r="20" spans="1:17" x14ac:dyDescent="0.25">
      <c r="A20" t="s">
        <v>292</v>
      </c>
      <c r="C20">
        <v>-9000</v>
      </c>
      <c r="D20">
        <v>-2000</v>
      </c>
      <c r="E20" s="14">
        <f>D20</f>
        <v>-2000</v>
      </c>
      <c r="F20">
        <f>E20</f>
        <v>-2000</v>
      </c>
      <c r="I20" s="2" t="s">
        <v>277</v>
      </c>
      <c r="J20" t="s">
        <v>295</v>
      </c>
      <c r="M20" s="2" t="s">
        <v>57</v>
      </c>
    </row>
    <row r="21" spans="1:17" x14ac:dyDescent="0.25">
      <c r="A21" t="s">
        <v>294</v>
      </c>
      <c r="C21">
        <f>B36*0.25</f>
        <v>-7650</v>
      </c>
      <c r="D21">
        <f>C21*0.75</f>
        <v>-5737.5</v>
      </c>
      <c r="E21" s="14">
        <f t="shared" ref="E21" si="2">D21*0.75</f>
        <v>-4303.125</v>
      </c>
      <c r="F21">
        <f>L29</f>
        <v>590.625</v>
      </c>
      <c r="I21">
        <f>F21</f>
        <v>590.625</v>
      </c>
      <c r="M21" t="s">
        <v>45</v>
      </c>
      <c r="N21">
        <f>SUM(C19:C21)</f>
        <v>-14650</v>
      </c>
      <c r="O21">
        <f t="shared" ref="O21:Q21" si="3">SUM(D19:D21)</f>
        <v>6762.5</v>
      </c>
      <c r="P21">
        <f t="shared" si="3"/>
        <v>8921.875</v>
      </c>
      <c r="Q21">
        <f t="shared" si="3"/>
        <v>14424.625</v>
      </c>
    </row>
    <row r="22" spans="1:17" x14ac:dyDescent="0.25">
      <c r="I22">
        <f>SUM(B36:F36)</f>
        <v>-17100</v>
      </c>
      <c r="M22" t="s">
        <v>298</v>
      </c>
      <c r="N22" s="3">
        <v>0</v>
      </c>
      <c r="O22" s="3">
        <f>N23</f>
        <v>-14650</v>
      </c>
      <c r="P22" s="3">
        <f>O23</f>
        <v>-7887.5</v>
      </c>
      <c r="Q22" s="3"/>
    </row>
    <row r="23" spans="1:17" x14ac:dyDescent="0.25">
      <c r="M23" t="s">
        <v>299</v>
      </c>
      <c r="N23">
        <f>SUM(N21:N22)</f>
        <v>-14650</v>
      </c>
      <c r="O23">
        <f t="shared" ref="O23:Q23" si="4">SUM(O21:O22)</f>
        <v>-7887.5</v>
      </c>
      <c r="P23">
        <f t="shared" si="4"/>
        <v>1034.375</v>
      </c>
      <c r="Q23">
        <f t="shared" si="4"/>
        <v>14424.625</v>
      </c>
    </row>
    <row r="24" spans="1:17" x14ac:dyDescent="0.25">
      <c r="A24" t="s">
        <v>301</v>
      </c>
      <c r="D24">
        <f>N24</f>
        <v>0</v>
      </c>
      <c r="E24" s="14">
        <f t="shared" ref="E24:G24" si="5">O24</f>
        <v>0</v>
      </c>
      <c r="F24">
        <f t="shared" si="5"/>
        <v>-310.3125</v>
      </c>
      <c r="G24">
        <f t="shared" si="5"/>
        <v>-4327.3874999999998</v>
      </c>
      <c r="M24" t="s">
        <v>108</v>
      </c>
      <c r="P24">
        <f>P23*-0.3</f>
        <v>-310.3125</v>
      </c>
      <c r="Q24">
        <f>Q23*-0.3</f>
        <v>-4327.3874999999998</v>
      </c>
    </row>
    <row r="25" spans="1:17" x14ac:dyDescent="0.25">
      <c r="C25" s="3"/>
      <c r="D25" s="3"/>
      <c r="E25" s="17"/>
      <c r="F25" s="3"/>
      <c r="G25" s="3"/>
    </row>
    <row r="26" spans="1:17" x14ac:dyDescent="0.25">
      <c r="A26" t="s">
        <v>43</v>
      </c>
      <c r="C26">
        <f>SUM(C19:C25)</f>
        <v>-14650</v>
      </c>
      <c r="D26">
        <f t="shared" ref="D26:G26" si="6">SUM(D19:D25)</f>
        <v>6762.5</v>
      </c>
      <c r="E26" s="14">
        <f t="shared" si="6"/>
        <v>8921.875</v>
      </c>
      <c r="F26">
        <f t="shared" si="6"/>
        <v>14114.3125</v>
      </c>
      <c r="G26">
        <f t="shared" si="6"/>
        <v>-4327.3874999999998</v>
      </c>
    </row>
    <row r="27" spans="1:17" x14ac:dyDescent="0.25">
      <c r="A27" s="2" t="s">
        <v>44</v>
      </c>
      <c r="K27" t="s">
        <v>326</v>
      </c>
      <c r="L27">
        <f>-SUM(C21:E21)</f>
        <v>17690.625</v>
      </c>
    </row>
    <row r="28" spans="1:17" ht="15.75" thickBot="1" x14ac:dyDescent="0.3">
      <c r="A28" t="str">
        <f>A21</f>
        <v>TAD (W1)</v>
      </c>
      <c r="C28">
        <f>-C21</f>
        <v>7650</v>
      </c>
      <c r="D28">
        <f t="shared" ref="D28:F28" si="7">-D21</f>
        <v>5737.5</v>
      </c>
      <c r="E28" s="14">
        <f t="shared" si="7"/>
        <v>4303.125</v>
      </c>
      <c r="F28">
        <f t="shared" si="7"/>
        <v>-590.625</v>
      </c>
      <c r="K28" t="s">
        <v>275</v>
      </c>
      <c r="L28">
        <f>SUM(B36:F36)</f>
        <v>-17100</v>
      </c>
    </row>
    <row r="29" spans="1:17" ht="15.75" thickBot="1" x14ac:dyDescent="0.3">
      <c r="G29" s="51" t="s">
        <v>327</v>
      </c>
      <c r="H29" s="53"/>
      <c r="L29">
        <f>SUM(L27:L28)</f>
        <v>590.625</v>
      </c>
    </row>
    <row r="35" spans="1:15" x14ac:dyDescent="0.25">
      <c r="I35" t="s">
        <v>101</v>
      </c>
      <c r="K35" s="4">
        <v>0.08</v>
      </c>
      <c r="L35" s="4">
        <v>0.06</v>
      </c>
      <c r="M35" s="4">
        <v>0.05</v>
      </c>
      <c r="N35" s="4">
        <v>0.04</v>
      </c>
    </row>
    <row r="36" spans="1:15" x14ac:dyDescent="0.25">
      <c r="A36" t="s">
        <v>293</v>
      </c>
      <c r="B36">
        <v>-30600</v>
      </c>
      <c r="F36">
        <v>13500</v>
      </c>
      <c r="I36" s="2" t="s">
        <v>278</v>
      </c>
      <c r="J36" s="2">
        <v>0</v>
      </c>
      <c r="K36" s="2">
        <f>1+J36</f>
        <v>1</v>
      </c>
      <c r="L36" s="2">
        <f t="shared" ref="L36:N36" si="8">1+K36</f>
        <v>2</v>
      </c>
      <c r="M36" s="2">
        <f t="shared" si="8"/>
        <v>3</v>
      </c>
      <c r="N36" s="2">
        <f t="shared" si="8"/>
        <v>4</v>
      </c>
    </row>
    <row r="37" spans="1:15" x14ac:dyDescent="0.25">
      <c r="A37" t="s">
        <v>296</v>
      </c>
      <c r="B37">
        <v>-3000</v>
      </c>
      <c r="C37">
        <f>K40</f>
        <v>-240</v>
      </c>
      <c r="D37">
        <f t="shared" ref="D37:F37" si="9">L40</f>
        <v>-194.40000000000009</v>
      </c>
      <c r="E37" s="14">
        <f t="shared" si="9"/>
        <v>-171.72000000000025</v>
      </c>
      <c r="F37">
        <f>N39</f>
        <v>3606.1200000000003</v>
      </c>
      <c r="I37" t="s">
        <v>21</v>
      </c>
      <c r="J37">
        <f>B37</f>
        <v>-3000</v>
      </c>
      <c r="K37">
        <f>J37*(1+K35)</f>
        <v>-3240</v>
      </c>
      <c r="L37">
        <f t="shared" ref="L37:N37" si="10">K37*(1+L35)</f>
        <v>-3434.4</v>
      </c>
      <c r="M37">
        <f t="shared" si="10"/>
        <v>-3606.1200000000003</v>
      </c>
      <c r="N37">
        <f t="shared" si="10"/>
        <v>-3750.3648000000003</v>
      </c>
    </row>
    <row r="38" spans="1:15" x14ac:dyDescent="0.25">
      <c r="I38" t="s">
        <v>106</v>
      </c>
      <c r="K38">
        <f>K37-J37</f>
        <v>-240</v>
      </c>
      <c r="L38">
        <f t="shared" ref="L38:N38" si="11">L37-K37</f>
        <v>-194.40000000000009</v>
      </c>
      <c r="M38">
        <f t="shared" si="11"/>
        <v>-171.72000000000025</v>
      </c>
      <c r="N38">
        <f t="shared" si="11"/>
        <v>-144.24479999999994</v>
      </c>
    </row>
    <row r="39" spans="1:15" x14ac:dyDescent="0.25">
      <c r="A39" t="s">
        <v>300</v>
      </c>
      <c r="B39">
        <f>SUM(B26:B37)</f>
        <v>-33600</v>
      </c>
      <c r="C39">
        <f t="shared" ref="C39:G39" si="12">SUM(C26:C37)</f>
        <v>-7240</v>
      </c>
      <c r="D39">
        <f t="shared" si="12"/>
        <v>12305.6</v>
      </c>
      <c r="E39" s="14">
        <f t="shared" si="12"/>
        <v>13053.279999999999</v>
      </c>
      <c r="F39">
        <f t="shared" si="12"/>
        <v>30629.807499999999</v>
      </c>
      <c r="G39">
        <f t="shared" si="12"/>
        <v>-4327.3874999999998</v>
      </c>
      <c r="I39" t="s">
        <v>297</v>
      </c>
      <c r="K39" s="3"/>
      <c r="L39" s="3"/>
      <c r="M39" s="3"/>
      <c r="N39" s="3">
        <f>-M37</f>
        <v>3606.1200000000003</v>
      </c>
    </row>
    <row r="40" spans="1:15" x14ac:dyDescent="0.25">
      <c r="A40" t="s">
        <v>69</v>
      </c>
      <c r="B40" s="69">
        <f>J48</f>
        <v>0.09</v>
      </c>
      <c r="K40">
        <f>SUM(K38:K39)</f>
        <v>-240</v>
      </c>
      <c r="L40">
        <f t="shared" ref="L40:N40" si="13">SUM(L38:L39)</f>
        <v>-194.40000000000009</v>
      </c>
      <c r="M40">
        <f t="shared" si="13"/>
        <v>-171.72000000000025</v>
      </c>
      <c r="N40">
        <f t="shared" si="13"/>
        <v>3461.8752000000004</v>
      </c>
    </row>
    <row r="42" spans="1:15" x14ac:dyDescent="0.25">
      <c r="A42" s="6">
        <f>NPV(B40,C39:G39)+B39</f>
        <v>-918.87444696121747</v>
      </c>
    </row>
    <row r="43" spans="1:15" x14ac:dyDescent="0.25">
      <c r="I43" s="2" t="s">
        <v>302</v>
      </c>
    </row>
    <row r="44" spans="1:15" x14ac:dyDescent="0.25">
      <c r="N44" t="s">
        <v>65</v>
      </c>
      <c r="O44" s="69">
        <v>2.5000000000000001E-2</v>
      </c>
    </row>
    <row r="45" spans="1:15" x14ac:dyDescent="0.25">
      <c r="I45" t="s">
        <v>136</v>
      </c>
      <c r="J45">
        <f>125*3.2</f>
        <v>400</v>
      </c>
      <c r="K45" t="s">
        <v>303</v>
      </c>
      <c r="L45" s="13">
        <v>0.105</v>
      </c>
      <c r="N45" t="s">
        <v>320</v>
      </c>
      <c r="O45" s="4">
        <v>0.05</v>
      </c>
    </row>
    <row r="46" spans="1:15" x14ac:dyDescent="0.25">
      <c r="I46" t="s">
        <v>135</v>
      </c>
      <c r="J46">
        <f>225/100*107</f>
        <v>240.75</v>
      </c>
      <c r="K46" t="s">
        <v>304</v>
      </c>
      <c r="L46" s="13">
        <v>5.3999999999999999E-2</v>
      </c>
      <c r="M46" s="11">
        <f>L46*0.7</f>
        <v>3.78E-2</v>
      </c>
      <c r="N46" t="s">
        <v>323</v>
      </c>
      <c r="O46">
        <f>(J48-O44)/(O45-O44)</f>
        <v>2.6</v>
      </c>
    </row>
    <row r="47" spans="1:15" x14ac:dyDescent="0.25">
      <c r="I47" s="68" t="s">
        <v>321</v>
      </c>
      <c r="N47" t="s">
        <v>324</v>
      </c>
      <c r="O47">
        <f>O44+O46*(2.5)</f>
        <v>6.5250000000000004</v>
      </c>
    </row>
    <row r="48" spans="1:15" x14ac:dyDescent="0.25">
      <c r="I48" t="s">
        <v>322</v>
      </c>
      <c r="J48" s="10">
        <v>0.09</v>
      </c>
    </row>
    <row r="49" spans="1:15" x14ac:dyDescent="0.25">
      <c r="A49" s="1" t="s">
        <v>289</v>
      </c>
    </row>
    <row r="51" spans="1:15" x14ac:dyDescent="0.25">
      <c r="A51" s="66" t="s">
        <v>305</v>
      </c>
      <c r="B51" s="66">
        <v>30600</v>
      </c>
      <c r="I51" s="2" t="s">
        <v>306</v>
      </c>
      <c r="N51" s="2" t="s">
        <v>319</v>
      </c>
    </row>
    <row r="52" spans="1:15" x14ac:dyDescent="0.25">
      <c r="A52" t="str">
        <f>I59</f>
        <v>Gross finance</v>
      </c>
      <c r="B52" s="66">
        <v>30600</v>
      </c>
      <c r="I52" t="s">
        <v>65</v>
      </c>
      <c r="J52" s="13">
        <v>2.5000000000000001E-2</v>
      </c>
    </row>
    <row r="53" spans="1:15" x14ac:dyDescent="0.25">
      <c r="A53" t="s">
        <v>108</v>
      </c>
      <c r="B53" s="4">
        <v>0.3</v>
      </c>
      <c r="I53" t="s">
        <v>307</v>
      </c>
      <c r="J53" s="41">
        <f>J52-0.3%</f>
        <v>2.2000000000000002E-2</v>
      </c>
      <c r="O53" t="s">
        <v>315</v>
      </c>
    </row>
    <row r="54" spans="1:15" x14ac:dyDescent="0.25">
      <c r="I54" t="s">
        <v>313</v>
      </c>
      <c r="J54" s="4">
        <v>0.05</v>
      </c>
      <c r="K54" t="s">
        <v>315</v>
      </c>
      <c r="N54" s="8" t="s">
        <v>317</v>
      </c>
      <c r="O54">
        <f>(1-(1+J54)^-5)/J54</f>
        <v>4.3294766706308208</v>
      </c>
    </row>
    <row r="55" spans="1:15" x14ac:dyDescent="0.25">
      <c r="I55" s="1" t="s">
        <v>314</v>
      </c>
      <c r="J55" s="67">
        <f>J54-J53</f>
        <v>2.8000000000000001E-2</v>
      </c>
      <c r="K55">
        <f>(1-(1+J54)^-4)/J54</f>
        <v>3.5459505041623607</v>
      </c>
      <c r="L55">
        <f>K55*J55*B52</f>
        <v>3038.1703919663105</v>
      </c>
      <c r="N55">
        <v>1</v>
      </c>
      <c r="O55">
        <f>1/(1+J54)</f>
        <v>0.95238095238095233</v>
      </c>
    </row>
    <row r="56" spans="1:15" x14ac:dyDescent="0.25">
      <c r="J56" s="67">
        <f>J54-J53</f>
        <v>2.8000000000000001E-2</v>
      </c>
      <c r="K56">
        <f>O56</f>
        <v>3.3770957182498682</v>
      </c>
      <c r="L56">
        <f>K56*J56*B52*-0.3</f>
        <v>-868.0486834189461</v>
      </c>
      <c r="N56" s="8" t="s">
        <v>318</v>
      </c>
      <c r="O56">
        <f>O54-O55</f>
        <v>3.3770957182498682</v>
      </c>
    </row>
    <row r="58" spans="1:15" x14ac:dyDescent="0.25">
      <c r="A58" t="str">
        <f>I58</f>
        <v>Issue costs (W6)</v>
      </c>
      <c r="B58">
        <f>-J61</f>
        <v>-1275</v>
      </c>
      <c r="I58" s="2" t="s">
        <v>308</v>
      </c>
    </row>
    <row r="59" spans="1:15" x14ac:dyDescent="0.25">
      <c r="A59" t="s">
        <v>316</v>
      </c>
      <c r="B59">
        <f>L55+L56</f>
        <v>2170.1217085473645</v>
      </c>
      <c r="I59" t="s">
        <v>309</v>
      </c>
      <c r="J59">
        <f>B51/96*100</f>
        <v>31875</v>
      </c>
    </row>
    <row r="60" spans="1:15" x14ac:dyDescent="0.25">
      <c r="A60" t="s">
        <v>319</v>
      </c>
      <c r="B60">
        <f>J53*B51*O56*B53</f>
        <v>682.03825125774335</v>
      </c>
      <c r="I60" t="s">
        <v>299</v>
      </c>
      <c r="J60" s="3">
        <f>B51</f>
        <v>30600</v>
      </c>
    </row>
    <row r="61" spans="1:15" x14ac:dyDescent="0.25">
      <c r="B61" s="3"/>
      <c r="I61" t="s">
        <v>310</v>
      </c>
      <c r="J61">
        <f>J59-J60</f>
        <v>1275</v>
      </c>
      <c r="K61" t="s">
        <v>311</v>
      </c>
    </row>
    <row r="62" spans="1:15" x14ac:dyDescent="0.25">
      <c r="B62" s="2">
        <f>SUM(B58:B61)</f>
        <v>1577.159959805108</v>
      </c>
      <c r="K62" t="s">
        <v>312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Sheet4</vt:lpstr>
      <vt:lpstr>Sheet1</vt:lpstr>
      <vt:lpstr>Tramount-APV</vt:lpstr>
      <vt:lpstr>Talam-options</vt:lpstr>
      <vt:lpstr>CHIKEPE CO MAR JUN 18</vt:lpstr>
      <vt:lpstr>Arthuru-CFE</vt:lpstr>
      <vt:lpstr>Sheet3</vt:lpstr>
      <vt:lpstr> Tippletine Co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Haseeb Khan Durrani</dc:creator>
  <cp:lastModifiedBy>Muhammad Haseeb Khan Durrani</cp:lastModifiedBy>
  <dcterms:created xsi:type="dcterms:W3CDTF">2023-11-28T06:42:26Z</dcterms:created>
  <dcterms:modified xsi:type="dcterms:W3CDTF">2023-12-10T18:58:48Z</dcterms:modified>
</cp:coreProperties>
</file>