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MEGA\Acca\2.AFM\Practice\"/>
    </mc:Choice>
  </mc:AlternateContent>
  <bookViews>
    <workbookView minimized="1" xWindow="0" yWindow="0" windowWidth="19515" windowHeight="8205" firstSheet="2" activeTab="2"/>
  </bookViews>
  <sheets>
    <sheet name="Sheet2" sheetId="2" r:id="rId1"/>
    <sheet name="Sheet1" sheetId="1" r:id="rId2"/>
    <sheet name="Options" sheetId="3" r:id="rId3"/>
    <sheet name="Fwd, option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" i="4" l="1"/>
  <c r="D58" i="4"/>
  <c r="C58" i="4"/>
  <c r="B54" i="4"/>
  <c r="C47" i="4"/>
  <c r="B39" i="4"/>
  <c r="A39" i="4"/>
  <c r="I34" i="4"/>
  <c r="K35" i="4" s="1"/>
  <c r="A26" i="4"/>
  <c r="C26" i="4" s="1"/>
  <c r="C59" i="4" s="1"/>
  <c r="C21" i="4"/>
  <c r="B50" i="4" s="1"/>
  <c r="C50" i="4" l="1"/>
  <c r="D50" i="4" s="1"/>
  <c r="B55" i="4" s="1"/>
  <c r="B56" i="4" s="1"/>
  <c r="C56" i="4" s="1"/>
  <c r="J35" i="4"/>
  <c r="B30" i="4" s="1"/>
  <c r="B110" i="3"/>
  <c r="B109" i="3"/>
  <c r="B108" i="3"/>
  <c r="B106" i="3"/>
  <c r="B102" i="3"/>
  <c r="B101" i="3"/>
  <c r="B100" i="3"/>
  <c r="B99" i="3"/>
  <c r="C94" i="3"/>
  <c r="B93" i="3"/>
  <c r="F104" i="3"/>
  <c r="F103" i="3"/>
  <c r="F102" i="3"/>
  <c r="G99" i="3"/>
  <c r="I100" i="3"/>
  <c r="G100" i="3"/>
  <c r="G101" i="3"/>
  <c r="F101" i="3"/>
  <c r="D87" i="3"/>
  <c r="D86" i="3"/>
  <c r="D85" i="3"/>
  <c r="B85" i="3"/>
  <c r="B82" i="3"/>
  <c r="C64" i="3"/>
  <c r="C68" i="3" s="1"/>
  <c r="C65" i="3"/>
  <c r="C66" i="3"/>
  <c r="C61" i="3"/>
  <c r="C59" i="3"/>
  <c r="E30" i="3"/>
  <c r="A54" i="3"/>
  <c r="B51" i="3"/>
  <c r="B50" i="3"/>
  <c r="B49" i="3"/>
  <c r="C45" i="3"/>
  <c r="B11" i="3"/>
  <c r="B10" i="3"/>
  <c r="C44" i="3"/>
  <c r="D41" i="3"/>
  <c r="D40" i="3"/>
  <c r="C40" i="3"/>
  <c r="C35" i="3"/>
  <c r="B35" i="3"/>
  <c r="B37" i="3" s="1"/>
  <c r="C37" i="3" s="1"/>
  <c r="C28" i="3"/>
  <c r="E28" i="3" s="1"/>
  <c r="C25" i="3"/>
  <c r="D25" i="3"/>
  <c r="D24" i="3"/>
  <c r="C24" i="3"/>
  <c r="B25" i="3"/>
  <c r="E25" i="3" s="1"/>
  <c r="B24" i="3"/>
  <c r="B32" i="4" l="1"/>
  <c r="C32" i="4" s="1"/>
  <c r="D59" i="4"/>
  <c r="C46" i="3"/>
  <c r="C48" i="3" s="1"/>
  <c r="C36" i="3"/>
  <c r="C41" i="3" s="1"/>
  <c r="E24" i="3"/>
  <c r="E27" i="3" s="1"/>
  <c r="E29" i="3" s="1"/>
  <c r="B38" i="4" l="1"/>
  <c r="B40" i="4" s="1"/>
  <c r="D40" i="4" s="1"/>
  <c r="B43" i="4" s="1"/>
  <c r="B42" i="4"/>
  <c r="B51" i="4"/>
  <c r="B52" i="4" s="1"/>
  <c r="E59" i="4" s="1"/>
  <c r="G37" i="1"/>
  <c r="F36" i="1"/>
  <c r="E36" i="1"/>
  <c r="D36" i="1"/>
  <c r="C36" i="1"/>
  <c r="C37" i="1" s="1"/>
  <c r="I43" i="1"/>
  <c r="F37" i="1"/>
  <c r="B37" i="1"/>
  <c r="F35" i="1"/>
  <c r="E35" i="1"/>
  <c r="D35" i="1"/>
  <c r="C35" i="1"/>
  <c r="B35" i="1"/>
  <c r="B36" i="1"/>
  <c r="E37" i="1"/>
  <c r="D37" i="1"/>
  <c r="H50" i="1"/>
  <c r="H45" i="1"/>
  <c r="C16" i="1"/>
  <c r="H51" i="1"/>
  <c r="K55" i="1"/>
  <c r="M54" i="1"/>
  <c r="L56" i="1"/>
  <c r="K54" i="1"/>
  <c r="J57" i="1"/>
  <c r="J56" i="1"/>
  <c r="H54" i="1"/>
  <c r="H53" i="1"/>
  <c r="K51" i="1" s="1"/>
  <c r="I50" i="1" s="1"/>
  <c r="I41" i="1"/>
  <c r="P33" i="1"/>
  <c r="O33" i="1"/>
  <c r="N33" i="1"/>
  <c r="P34" i="1"/>
  <c r="O34" i="1"/>
  <c r="N34" i="1"/>
  <c r="M34" i="1"/>
  <c r="M33" i="1"/>
  <c r="D31" i="1"/>
  <c r="E31" i="1" s="1"/>
  <c r="F31" i="1" s="1"/>
  <c r="C31" i="1"/>
  <c r="B19" i="1"/>
  <c r="G22" i="1"/>
  <c r="G10" i="1"/>
  <c r="G12" i="1" s="1"/>
  <c r="C9" i="1" s="1"/>
  <c r="G11" i="1"/>
  <c r="H8" i="1"/>
  <c r="B10" i="1"/>
  <c r="H7" i="1"/>
  <c r="B9" i="1"/>
  <c r="G18" i="1"/>
  <c r="G19" i="1" s="1"/>
  <c r="G20" i="1" s="1"/>
  <c r="C15" i="1" s="1"/>
  <c r="K18" i="1"/>
  <c r="H18" i="1" s="1"/>
  <c r="H17" i="1"/>
  <c r="H19" i="1" s="1"/>
  <c r="G17" i="1"/>
  <c r="C7" i="1"/>
  <c r="B7" i="1"/>
  <c r="B44" i="4" l="1"/>
  <c r="B39" i="1"/>
  <c r="B22" i="1"/>
  <c r="G24" i="1"/>
  <c r="G25" i="1" s="1"/>
  <c r="G26" i="1" s="1"/>
  <c r="B20" i="1"/>
  <c r="B21" i="1" s="1"/>
  <c r="B23" i="1" s="1"/>
</calcChain>
</file>

<file path=xl/sharedStrings.xml><?xml version="1.0" encoding="utf-8"?>
<sst xmlns="http://schemas.openxmlformats.org/spreadsheetml/2006/main" count="215" uniqueCount="165">
  <si>
    <t>(i) Estimates the additional value created for Avem Co, if it acquires Fugae Co </t>
  </si>
  <si>
    <t>without considering the luxury transport project (10 marks) </t>
  </si>
  <si>
    <t>Awem</t>
  </si>
  <si>
    <t>Fugae</t>
  </si>
  <si>
    <t>E</t>
  </si>
  <si>
    <t>N.o of shares</t>
  </si>
  <si>
    <t>30% oremieum ot Nahara</t>
  </si>
  <si>
    <t>In m</t>
  </si>
  <si>
    <t>Share price</t>
  </si>
  <si>
    <t>CFE</t>
  </si>
  <si>
    <t>A+f</t>
  </si>
  <si>
    <t>Synergy</t>
  </si>
  <si>
    <t>FCC</t>
  </si>
  <si>
    <t>ROE</t>
  </si>
  <si>
    <t>Returned CF</t>
  </si>
  <si>
    <t>NCL</t>
  </si>
  <si>
    <t>1-4</t>
  </si>
  <si>
    <t>4</t>
  </si>
  <si>
    <t>CF</t>
  </si>
  <si>
    <t>DF</t>
  </si>
  <si>
    <t>Rf=</t>
  </si>
  <si>
    <t>Spreead</t>
  </si>
  <si>
    <t>DCF</t>
  </si>
  <si>
    <t>MV</t>
  </si>
  <si>
    <t>G of fugae</t>
  </si>
  <si>
    <t>G</t>
  </si>
  <si>
    <t>Consideration</t>
  </si>
  <si>
    <t>MV of F</t>
  </si>
  <si>
    <t>to Nahara</t>
  </si>
  <si>
    <t>Reamining MV</t>
  </si>
  <si>
    <t>to nahara</t>
  </si>
  <si>
    <t>Gain total</t>
  </si>
  <si>
    <t>Additional value is the equity value of company</t>
  </si>
  <si>
    <t>ROE is KE</t>
  </si>
  <si>
    <t>(ii) Estimates the additional value of the luxury transport project to Fugae Co, </t>
  </si>
  <si>
    <t>both with and without the offer from Lumi Co (18 marks) </t>
  </si>
  <si>
    <t>Inv</t>
  </si>
  <si>
    <t>Prob</t>
  </si>
  <si>
    <t>Not grow</t>
  </si>
  <si>
    <t>Grow</t>
  </si>
  <si>
    <t>Not</t>
  </si>
  <si>
    <t>Yes</t>
  </si>
  <si>
    <t>Tourism ind</t>
  </si>
  <si>
    <t>CF all years</t>
  </si>
  <si>
    <t>2nd and subs years</t>
  </si>
  <si>
    <t>Ke=</t>
  </si>
  <si>
    <t>Be=</t>
  </si>
  <si>
    <t>Prem</t>
  </si>
  <si>
    <t>Reka</t>
  </si>
  <si>
    <t>Luxury</t>
  </si>
  <si>
    <t>Non</t>
  </si>
  <si>
    <t>Be</t>
  </si>
  <si>
    <t>D</t>
  </si>
  <si>
    <t>Ba (non)</t>
  </si>
  <si>
    <r>
      <t>I51/(H53/</t>
    </r>
    <r>
      <rPr>
        <b/>
        <sz val="11"/>
        <color theme="1"/>
        <rFont val="Calibri"/>
        <family val="2"/>
        <scheme val="minor"/>
      </rPr>
      <t>(</t>
    </r>
    <r>
      <rPr>
        <sz val="11"/>
        <color theme="1"/>
        <rFont val="Calibri"/>
        <family val="2"/>
        <scheme val="minor"/>
      </rPr>
      <t>H53+H54*0.8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>)</t>
    </r>
  </si>
  <si>
    <t>Pba</t>
  </si>
  <si>
    <t>=H51*H49</t>
  </si>
  <si>
    <t>TCF</t>
  </si>
  <si>
    <t>(b) Recommend a hedging strategy for the $36m loan based on the hedging choices the </t>
  </si>
  <si>
    <t>treasury manager is considering, if the central bank base rate increases to 6.6%. </t>
  </si>
  <si>
    <t>Support your answer with appropriate calculations. (14 marks) </t>
  </si>
  <si>
    <t>today’s date is 1 November.</t>
  </si>
  <si>
    <t>Loan</t>
  </si>
  <si>
    <t>Loan in M</t>
  </si>
  <si>
    <t>36m will be required next year on 31 January t</t>
  </si>
  <si>
    <t>3-7</t>
  </si>
  <si>
    <t>Borr</t>
  </si>
  <si>
    <t>Bank Base rate</t>
  </si>
  <si>
    <t>Premium</t>
  </si>
  <si>
    <t>Now</t>
  </si>
  <si>
    <t>Future</t>
  </si>
  <si>
    <t>Later</t>
  </si>
  <si>
    <t>Fwd rate</t>
  </si>
  <si>
    <t>3–7 </t>
  </si>
  <si>
    <t xml:space="preserve">Duration </t>
  </si>
  <si>
    <t>Gain on Fwd</t>
  </si>
  <si>
    <t>Net borr cost</t>
  </si>
  <si>
    <r>
      <rPr>
        <b/>
        <u/>
        <sz val="11"/>
        <color theme="1"/>
        <rFont val="Calibri"/>
        <family val="2"/>
        <scheme val="minor"/>
      </rPr>
      <t>Don’t include premium</t>
    </r>
    <r>
      <rPr>
        <sz val="11"/>
        <color theme="1"/>
        <rFont val="Calibri"/>
        <family val="2"/>
        <scheme val="minor"/>
      </rPr>
      <t xml:space="preserve"> in calcuating gain on Fwd hedge</t>
    </r>
  </si>
  <si>
    <t>Futures</t>
  </si>
  <si>
    <t>Basis</t>
  </si>
  <si>
    <t>Spot</t>
  </si>
  <si>
    <t>Nov</t>
  </si>
  <si>
    <t>Jan-31</t>
  </si>
  <si>
    <t>Spot rate</t>
  </si>
  <si>
    <t>Gain on future</t>
  </si>
  <si>
    <t>Sell now</t>
  </si>
  <si>
    <t>Buy later</t>
  </si>
  <si>
    <t>Contract size</t>
  </si>
  <si>
    <t>Lot</t>
  </si>
  <si>
    <t>Both are hedge figs</t>
  </si>
  <si>
    <t>Gain on futures</t>
  </si>
  <si>
    <t>Gl on spot</t>
  </si>
  <si>
    <t>Spot includes premium figs</t>
  </si>
  <si>
    <t>Coukdve</t>
  </si>
  <si>
    <t>Net cost</t>
  </si>
  <si>
    <t>at hedge date</t>
  </si>
  <si>
    <t>at loan date</t>
  </si>
  <si>
    <t>At spoit</t>
  </si>
  <si>
    <t>Time factor will include actual poan period</t>
  </si>
  <si>
    <t>Time factor will include hedge period</t>
  </si>
  <si>
    <t>FORWARD</t>
  </si>
  <si>
    <t>FUTURES</t>
  </si>
  <si>
    <t>Strike price</t>
  </si>
  <si>
    <t>Future price</t>
  </si>
  <si>
    <t>Gain</t>
  </si>
  <si>
    <t>Interest payment</t>
  </si>
  <si>
    <t>In hedge options &amp; futures, gain/loss will be calculated on the contract size</t>
  </si>
  <si>
    <t>better to use</t>
  </si>
  <si>
    <t>Used basis method to calc this</t>
  </si>
  <si>
    <t>Calculate the effective rate for comparison</t>
  </si>
  <si>
    <t>76 GOGARTH CO (MAR/JUN 21) </t>
  </si>
  <si>
    <t>(a) Advise Gogarth Co on, and recommend, an appropriate hedging strategy for its US$ </t>
  </si>
  <si>
    <t>cash flows on 31 August. Include relevant calculations. (15 marks) </t>
  </si>
  <si>
    <t>31 August, G</t>
  </si>
  <si>
    <t>pay</t>
  </si>
  <si>
    <t>Rec</t>
  </si>
  <si>
    <t>Net Rec</t>
  </si>
  <si>
    <t>$</t>
  </si>
  <si>
    <t>Months of hedge</t>
  </si>
  <si>
    <t>Sell now buy later</t>
  </si>
  <si>
    <t>Forward</t>
  </si>
  <si>
    <t>MR</t>
  </si>
  <si>
    <t>S/1MR</t>
  </si>
  <si>
    <t>Fwd</t>
  </si>
  <si>
    <t>Gain on fwd</t>
  </si>
  <si>
    <t>Sep</t>
  </si>
  <si>
    <t>1 May. </t>
  </si>
  <si>
    <t>is currently </t>
  </si>
  <si>
    <t>Csize</t>
  </si>
  <si>
    <t>May to Sep</t>
  </si>
  <si>
    <t>Amount</t>
  </si>
  <si>
    <t>N.o of contract</t>
  </si>
  <si>
    <t>v</t>
  </si>
  <si>
    <t>On hedge</t>
  </si>
  <si>
    <t>on spot</t>
  </si>
  <si>
    <t>PAYMENT</t>
  </si>
  <si>
    <t>RECEIPT</t>
  </si>
  <si>
    <t>Call</t>
  </si>
  <si>
    <t>Put</t>
  </si>
  <si>
    <t>Option</t>
  </si>
  <si>
    <t>SP</t>
  </si>
  <si>
    <t>a)Advise Orion Co on, and recommend, an appropriate hedging strategy for its US$ cash flows on 31 August. Include relevant calculations.(12marks</t>
  </si>
  <si>
    <t>Locak</t>
  </si>
  <si>
    <t xml:space="preserve"> Swiss Franc</t>
  </si>
  <si>
    <t>Advice &amp; Recommendation</t>
  </si>
  <si>
    <t xml:space="preserve">It  is  currently  1  May. </t>
  </si>
  <si>
    <t xml:space="preserve">31  August, </t>
  </si>
  <si>
    <t>Pay</t>
  </si>
  <si>
    <t>Net rec</t>
  </si>
  <si>
    <t>$/CHF</t>
  </si>
  <si>
    <t>CHF</t>
  </si>
  <si>
    <t>Size in CHF</t>
  </si>
  <si>
    <t>N.o of contracts</t>
  </si>
  <si>
    <t>May-01</t>
  </si>
  <si>
    <t>Aug-31</t>
  </si>
  <si>
    <t>Sep-30</t>
  </si>
  <si>
    <t>Buy now</t>
  </si>
  <si>
    <t>Amount hedge</t>
  </si>
  <si>
    <t>Amount iver-edge</t>
  </si>
  <si>
    <t>Actual payment</t>
  </si>
  <si>
    <t>Payment in fwd mkt</t>
  </si>
  <si>
    <t>Options</t>
  </si>
  <si>
    <t>Sell</t>
  </si>
  <si>
    <t>Becz of indirect hedging</t>
  </si>
  <si>
    <t>Ex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</si>
</sst>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3" formatCode="_(* #,##0.00_);_(* \(#,##0.00\);_(* &quot;-&quot;??_);_(@_)"/>
    <numFmt numFmtId="164" formatCode="0.00000%"/>
    <numFmt numFmtId="165" formatCode="0.0000"/>
    <numFmt numFmtId="166" formatCode="0.000000E+00"/>
    <numFmt numFmtId="167" formatCode="0.0"/>
    <numFmt numFmtId="168" formatCode="0.000%"/>
    <numFmt numFmtId="169" formatCode="0.0000%"/>
    <numFmt numFmtId="170" formatCode="_(* #,##0_);_(* \(#,##0\);_(* &quot;-&quot;??_);_(@_)"/>
    <numFmt numFmtId="171" formatCode="#,##0.0000_);\(#,##0.0000\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0" fillId="0" borderId="0" xfId="0" quotePrefix="1"/>
    <xf numFmtId="0" fontId="3" fillId="0" borderId="0" xfId="0" applyFont="1"/>
    <xf numFmtId="0" fontId="3" fillId="0" borderId="0" xfId="0" quotePrefix="1" applyFont="1"/>
    <xf numFmtId="0" fontId="4" fillId="0" borderId="0" xfId="0" applyFont="1"/>
    <xf numFmtId="9" fontId="0" fillId="0" borderId="0" xfId="0" applyNumberFormat="1"/>
    <xf numFmtId="10" fontId="0" fillId="0" borderId="0" xfId="0" applyNumberFormat="1"/>
    <xf numFmtId="16" fontId="0" fillId="0" borderId="0" xfId="0" quotePrefix="1" applyNumberFormat="1"/>
    <xf numFmtId="2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66" fontId="0" fillId="0" borderId="0" xfId="0" applyNumberFormat="1"/>
    <xf numFmtId="0" fontId="0" fillId="2" borderId="0" xfId="0" quotePrefix="1" applyFill="1"/>
    <xf numFmtId="167" fontId="0" fillId="0" borderId="0" xfId="0" applyNumberFormat="1"/>
    <xf numFmtId="0" fontId="0" fillId="0" borderId="0" xfId="0" applyFont="1"/>
    <xf numFmtId="168" fontId="0" fillId="0" borderId="0" xfId="0" applyNumberFormat="1"/>
    <xf numFmtId="168" fontId="4" fillId="0" borderId="0" xfId="0" applyNumberFormat="1" applyFont="1"/>
    <xf numFmtId="10" fontId="4" fillId="0" borderId="0" xfId="0" applyNumberFormat="1" applyFont="1"/>
    <xf numFmtId="168" fontId="0" fillId="0" borderId="0" xfId="0" applyNumberFormat="1" applyFont="1"/>
    <xf numFmtId="169" fontId="0" fillId="0" borderId="0" xfId="0" applyNumberFormat="1"/>
    <xf numFmtId="168" fontId="0" fillId="0" borderId="0" xfId="2" applyNumberFormat="1" applyFont="1"/>
    <xf numFmtId="10" fontId="4" fillId="2" borderId="0" xfId="0" applyNumberFormat="1" applyFont="1" applyFill="1"/>
    <xf numFmtId="10" fontId="0" fillId="2" borderId="0" xfId="0" applyNumberFormat="1" applyFill="1"/>
    <xf numFmtId="10" fontId="0" fillId="2" borderId="0" xfId="2" applyNumberFormat="1" applyFont="1" applyFill="1"/>
    <xf numFmtId="3" fontId="0" fillId="0" borderId="0" xfId="0" applyNumberFormat="1"/>
    <xf numFmtId="3" fontId="4" fillId="0" borderId="0" xfId="0" applyNumberFormat="1" applyFont="1"/>
    <xf numFmtId="165" fontId="4" fillId="0" borderId="0" xfId="0" applyNumberFormat="1" applyFont="1"/>
    <xf numFmtId="165" fontId="0" fillId="0" borderId="1" xfId="0" applyNumberFormat="1" applyBorder="1"/>
    <xf numFmtId="165" fontId="0" fillId="0" borderId="2" xfId="0" applyNumberFormat="1" applyBorder="1"/>
    <xf numFmtId="170" fontId="0" fillId="0" borderId="0" xfId="1" applyNumberFormat="1" applyFont="1"/>
    <xf numFmtId="170" fontId="0" fillId="0" borderId="0" xfId="0" applyNumberFormat="1"/>
    <xf numFmtId="43" fontId="0" fillId="0" borderId="0" xfId="0" applyNumberFormat="1"/>
    <xf numFmtId="0" fontId="0" fillId="2" borderId="6" xfId="0" applyFill="1" applyBorder="1"/>
    <xf numFmtId="0" fontId="0" fillId="2" borderId="4" xfId="0" applyFill="1" applyBorder="1"/>
    <xf numFmtId="0" fontId="5" fillId="2" borderId="7" xfId="0" applyFont="1" applyFill="1" applyBorder="1"/>
    <xf numFmtId="0" fontId="5" fillId="2" borderId="5" xfId="0" applyFont="1" applyFill="1" applyBorder="1"/>
    <xf numFmtId="0" fontId="5" fillId="2" borderId="3" xfId="0" applyFont="1" applyFill="1" applyBorder="1"/>
    <xf numFmtId="0" fontId="5" fillId="2" borderId="8" xfId="0" applyFont="1" applyFill="1" applyBorder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6" fillId="0" borderId="0" xfId="0" applyFont="1"/>
    <xf numFmtId="39" fontId="0" fillId="0" borderId="0" xfId="0" applyNumberFormat="1"/>
    <xf numFmtId="39" fontId="4" fillId="0" borderId="0" xfId="0" applyNumberFormat="1" applyFont="1"/>
    <xf numFmtId="39" fontId="3" fillId="0" borderId="0" xfId="0" applyNumberFormat="1" applyFont="1"/>
    <xf numFmtId="37" fontId="3" fillId="0" borderId="0" xfId="0" applyNumberFormat="1" applyFont="1"/>
    <xf numFmtId="39" fontId="0" fillId="2" borderId="0" xfId="0" applyNumberFormat="1" applyFill="1"/>
    <xf numFmtId="39" fontId="0" fillId="2" borderId="0" xfId="0" quotePrefix="1" applyNumberFormat="1" applyFill="1"/>
    <xf numFmtId="171" fontId="0" fillId="2" borderId="0" xfId="0" applyNumberFormat="1" applyFill="1"/>
    <xf numFmtId="171" fontId="4" fillId="2" borderId="0" xfId="0" applyNumberFormat="1" applyFont="1" applyFill="1"/>
    <xf numFmtId="171" fontId="2" fillId="2" borderId="0" xfId="0" applyNumberFormat="1" applyFont="1" applyFill="1"/>
    <xf numFmtId="170" fontId="4" fillId="0" borderId="0" xfId="1" applyNumberFormat="1" applyFont="1"/>
    <xf numFmtId="170" fontId="0" fillId="2" borderId="0" xfId="0" applyNumberFormat="1" applyFill="1"/>
    <xf numFmtId="39" fontId="3" fillId="2" borderId="0" xfId="0" applyNumberFormat="1" applyFont="1" applyFill="1"/>
    <xf numFmtId="170" fontId="2" fillId="0" borderId="0" xfId="1" applyNumberFormat="1" applyFont="1"/>
    <xf numFmtId="39" fontId="2" fillId="2" borderId="0" xfId="0" applyNumberFormat="1" applyFont="1" applyFill="1"/>
    <xf numFmtId="171" fontId="0" fillId="0" borderId="0" xfId="0" applyNumberFormat="1"/>
    <xf numFmtId="170" fontId="3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workbookViewId="0">
      <selection activeCell="A12" sqref="A12"/>
    </sheetView>
  </sheetViews>
  <sheetFormatPr defaultRowHeight="15" x14ac:dyDescent="0.25"/>
  <cols>
    <col min="1" max="1" width="9.140625" customWidth="1"/>
    <col min="2" max="2" width="20.42578125" customWidth="1"/>
    <col min="3" max="3" width="7" customWidth="1"/>
    <col min="4" max="4" width="9" customWidth="1"/>
    <col min="5" max="6" width="10" customWidth="1"/>
    <col min="7" max="7" width="12" customWidth="1"/>
    <col min="8" max="10" width="12.5703125" bestFit="1" customWidth="1"/>
    <col min="11" max="11" width="14" customWidth="1"/>
    <col min="12" max="12" width="23" bestFit="1" customWidth="1"/>
  </cols>
  <sheetData>
    <row r="1" spans="1:13" x14ac:dyDescent="0.25">
      <c r="A1" s="1" t="s">
        <v>0</v>
      </c>
    </row>
    <row r="2" spans="1:13" x14ac:dyDescent="0.25">
      <c r="A2" s="1" t="s">
        <v>1</v>
      </c>
    </row>
    <row r="3" spans="1:13" x14ac:dyDescent="0.25">
      <c r="C3">
        <v>1200</v>
      </c>
      <c r="D3" t="s">
        <v>6</v>
      </c>
    </row>
    <row r="5" spans="1:13" x14ac:dyDescent="0.25">
      <c r="B5" t="s">
        <v>7</v>
      </c>
    </row>
    <row r="6" spans="1:13" x14ac:dyDescent="0.25">
      <c r="B6" s="3" t="s">
        <v>2</v>
      </c>
      <c r="C6" s="3" t="s">
        <v>3</v>
      </c>
      <c r="D6" s="4" t="s">
        <v>10</v>
      </c>
      <c r="G6" s="3" t="s">
        <v>24</v>
      </c>
    </row>
    <row r="7" spans="1:13" x14ac:dyDescent="0.25">
      <c r="A7" t="s">
        <v>5</v>
      </c>
      <c r="B7" s="5">
        <f>800/0.5</f>
        <v>1600</v>
      </c>
      <c r="C7" s="5">
        <f>100/0.5</f>
        <v>200</v>
      </c>
      <c r="G7" t="s">
        <v>13</v>
      </c>
      <c r="H7">
        <f>C13*C12</f>
        <v>8.4150000000000009</v>
      </c>
    </row>
    <row r="8" spans="1:13" x14ac:dyDescent="0.25">
      <c r="A8" t="s">
        <v>8</v>
      </c>
      <c r="B8">
        <v>7.5</v>
      </c>
      <c r="G8" t="s">
        <v>25</v>
      </c>
      <c r="H8" s="10">
        <f>(1-77.3%)*C13</f>
        <v>2.4969999999999999E-2</v>
      </c>
      <c r="I8" s="13" t="s">
        <v>32</v>
      </c>
      <c r="J8" s="13"/>
      <c r="K8" s="13"/>
      <c r="L8" s="13"/>
      <c r="M8" s="13"/>
    </row>
    <row r="9" spans="1:13" x14ac:dyDescent="0.25">
      <c r="A9" t="s">
        <v>4</v>
      </c>
      <c r="B9">
        <f>B7*B8</f>
        <v>12000</v>
      </c>
      <c r="C9" s="9">
        <f>G12</f>
        <v>922.14753616370683</v>
      </c>
      <c r="I9" s="13" t="s">
        <v>33</v>
      </c>
      <c r="J9" s="13"/>
      <c r="K9" s="13"/>
      <c r="L9" s="13"/>
      <c r="M9" s="13"/>
    </row>
    <row r="10" spans="1:13" x14ac:dyDescent="0.25">
      <c r="A10" t="s">
        <v>9</v>
      </c>
      <c r="B10" s="2">
        <f>B9/7.2</f>
        <v>1666.6666666666665</v>
      </c>
      <c r="C10">
        <v>76.5</v>
      </c>
      <c r="D10">
        <v>40</v>
      </c>
      <c r="E10" t="s">
        <v>11</v>
      </c>
      <c r="G10">
        <f>C12*(1+H8)</f>
        <v>78.410204999999991</v>
      </c>
    </row>
    <row r="11" spans="1:13" x14ac:dyDescent="0.25">
      <c r="A11" t="s">
        <v>12</v>
      </c>
      <c r="E11">
        <v>7.5</v>
      </c>
      <c r="G11" s="11">
        <f>C13-H8</f>
        <v>8.5029999999999994E-2</v>
      </c>
    </row>
    <row r="12" spans="1:13" x14ac:dyDescent="0.25">
      <c r="A12" t="s">
        <v>9</v>
      </c>
      <c r="C12">
        <v>76.5</v>
      </c>
      <c r="G12">
        <f>G10/G11</f>
        <v>922.14753616370683</v>
      </c>
    </row>
    <row r="13" spans="1:13" x14ac:dyDescent="0.25">
      <c r="A13" t="s">
        <v>13</v>
      </c>
      <c r="C13" s="6">
        <v>0.11</v>
      </c>
    </row>
    <row r="14" spans="1:13" x14ac:dyDescent="0.25">
      <c r="A14" t="s">
        <v>14</v>
      </c>
      <c r="C14" s="7">
        <v>0.77300000000000002</v>
      </c>
    </row>
    <row r="15" spans="1:13" x14ac:dyDescent="0.25">
      <c r="A15" t="s">
        <v>15</v>
      </c>
      <c r="C15">
        <f>2200/F16*G20</f>
        <v>2247.0248221221086</v>
      </c>
    </row>
    <row r="16" spans="1:13" x14ac:dyDescent="0.25">
      <c r="A16" t="s">
        <v>52</v>
      </c>
      <c r="C16">
        <f>380/100*G20</f>
        <v>388.12246927563694</v>
      </c>
      <c r="F16" s="3">
        <v>100</v>
      </c>
      <c r="G16" s="2" t="s">
        <v>16</v>
      </c>
      <c r="H16" s="8" t="s">
        <v>17</v>
      </c>
      <c r="J16" t="s">
        <v>20</v>
      </c>
      <c r="K16" s="6">
        <v>0.04</v>
      </c>
    </row>
    <row r="17" spans="1:11" x14ac:dyDescent="0.25">
      <c r="F17" t="s">
        <v>18</v>
      </c>
      <c r="G17">
        <f>F16*5.4%</f>
        <v>5.4</v>
      </c>
      <c r="H17">
        <f>F16</f>
        <v>100</v>
      </c>
      <c r="J17" t="s">
        <v>21</v>
      </c>
      <c r="K17" s="7">
        <v>8.0000000000000002E-3</v>
      </c>
    </row>
    <row r="18" spans="1:11" x14ac:dyDescent="0.25">
      <c r="F18" t="s">
        <v>19</v>
      </c>
      <c r="G18" s="9">
        <f>(1-(1+K18)^-4)/K18</f>
        <v>3.5624865244021642</v>
      </c>
      <c r="H18">
        <f>1/(1+K18)^4</f>
        <v>0.82900064682869612</v>
      </c>
      <c r="J18" t="s">
        <v>19</v>
      </c>
      <c r="K18" s="7">
        <f>SUM(K16:K17)</f>
        <v>4.8000000000000001E-2</v>
      </c>
    </row>
    <row r="19" spans="1:11" x14ac:dyDescent="0.25">
      <c r="A19" t="s">
        <v>9</v>
      </c>
      <c r="B19">
        <f>(SUM(B10:C10)+D10)*E11</f>
        <v>13373.749999999998</v>
      </c>
      <c r="F19" t="s">
        <v>22</v>
      </c>
      <c r="G19">
        <f>G17*G18</f>
        <v>19.237427231771687</v>
      </c>
      <c r="H19">
        <f>H17*H18</f>
        <v>82.900064682869612</v>
      </c>
    </row>
    <row r="20" spans="1:11" x14ac:dyDescent="0.25">
      <c r="B20" s="9">
        <f>B9+C9</f>
        <v>12922.147536163708</v>
      </c>
      <c r="F20" t="s">
        <v>23</v>
      </c>
      <c r="G20">
        <f>SUM(G19:H19)</f>
        <v>102.1374919146413</v>
      </c>
    </row>
    <row r="21" spans="1:11" x14ac:dyDescent="0.25">
      <c r="A21" t="s">
        <v>31</v>
      </c>
      <c r="B21" s="9">
        <f>B19-B20</f>
        <v>451.60246383629055</v>
      </c>
    </row>
    <row r="22" spans="1:11" x14ac:dyDescent="0.25">
      <c r="A22" t="s">
        <v>30</v>
      </c>
      <c r="B22">
        <f>C9*0.3</f>
        <v>276.64426084911202</v>
      </c>
      <c r="F22" t="s">
        <v>26</v>
      </c>
      <c r="G22">
        <f>C3</f>
        <v>1200</v>
      </c>
    </row>
    <row r="23" spans="1:11" x14ac:dyDescent="0.25">
      <c r="B23" s="9">
        <f>B21-B22</f>
        <v>174.95820298717854</v>
      </c>
    </row>
    <row r="24" spans="1:11" x14ac:dyDescent="0.25">
      <c r="F24" t="s">
        <v>27</v>
      </c>
      <c r="G24" s="9">
        <f>C9+C15</f>
        <v>3169.1723582858153</v>
      </c>
    </row>
    <row r="25" spans="1:11" x14ac:dyDescent="0.25">
      <c r="F25" t="s">
        <v>28</v>
      </c>
      <c r="G25" s="5">
        <f>G24*0.3</f>
        <v>950.75170748574453</v>
      </c>
    </row>
    <row r="26" spans="1:11" x14ac:dyDescent="0.25">
      <c r="F26" t="s">
        <v>29</v>
      </c>
      <c r="G26" s="9">
        <f>G24-G25</f>
        <v>2218.4206508000707</v>
      </c>
    </row>
    <row r="28" spans="1:11" x14ac:dyDescent="0.25">
      <c r="A28" t="s">
        <v>34</v>
      </c>
    </row>
    <row r="29" spans="1:11" x14ac:dyDescent="0.25">
      <c r="A29" t="s">
        <v>35</v>
      </c>
    </row>
    <row r="31" spans="1:11" x14ac:dyDescent="0.25">
      <c r="B31">
        <v>0</v>
      </c>
      <c r="C31">
        <f>1+B31</f>
        <v>1</v>
      </c>
      <c r="D31">
        <f t="shared" ref="D31:F31" si="0">1+C31</f>
        <v>2</v>
      </c>
      <c r="E31">
        <f t="shared" si="0"/>
        <v>3</v>
      </c>
      <c r="F31">
        <f t="shared" si="0"/>
        <v>4</v>
      </c>
    </row>
    <row r="32" spans="1:11" x14ac:dyDescent="0.25">
      <c r="A32" t="s">
        <v>18</v>
      </c>
      <c r="C32">
        <v>3277.6</v>
      </c>
      <c r="D32">
        <v>16134.3</v>
      </c>
      <c r="E32">
        <v>36504.699999999997</v>
      </c>
      <c r="F32">
        <v>35683.599999999999</v>
      </c>
      <c r="I32" t="s">
        <v>37</v>
      </c>
    </row>
    <row r="33" spans="1:16" x14ac:dyDescent="0.25">
      <c r="A33" t="s">
        <v>36</v>
      </c>
      <c r="B33">
        <v>-42000</v>
      </c>
      <c r="H33" t="s">
        <v>38</v>
      </c>
      <c r="I33" s="6">
        <v>0.25</v>
      </c>
      <c r="K33" t="s">
        <v>38</v>
      </c>
      <c r="M33">
        <f>C32*0.75</f>
        <v>2458.1999999999998</v>
      </c>
      <c r="N33">
        <f>D32*0.5*0.8</f>
        <v>6453.72</v>
      </c>
      <c r="O33">
        <f>E32*0.5*0.8</f>
        <v>14601.88</v>
      </c>
      <c r="P33">
        <f>F32*0.5*0.8</f>
        <v>14273.44</v>
      </c>
    </row>
    <row r="34" spans="1:16" x14ac:dyDescent="0.25">
      <c r="H34" t="s">
        <v>18</v>
      </c>
      <c r="I34" s="6">
        <v>0.5</v>
      </c>
      <c r="K34" t="s">
        <v>39</v>
      </c>
      <c r="M34">
        <f>C32</f>
        <v>3277.6</v>
      </c>
      <c r="N34">
        <f>D32*0.8*0.4</f>
        <v>5162.9760000000006</v>
      </c>
      <c r="O34">
        <f>E32*0.8*0.4</f>
        <v>11681.504000000001</v>
      </c>
      <c r="P34">
        <f>F32*0.8*0.4</f>
        <v>11418.752</v>
      </c>
    </row>
    <row r="35" spans="1:16" x14ac:dyDescent="0.25">
      <c r="A35" t="s">
        <v>57</v>
      </c>
      <c r="B35">
        <f>SUM(B32:B34)</f>
        <v>-42000</v>
      </c>
      <c r="C35">
        <f t="shared" ref="C35:F35" si="1">SUM(C32:C34)</f>
        <v>3277.6</v>
      </c>
      <c r="D35">
        <f t="shared" si="1"/>
        <v>16134.3</v>
      </c>
      <c r="E35">
        <f t="shared" si="1"/>
        <v>36504.699999999997</v>
      </c>
      <c r="F35">
        <f t="shared" si="1"/>
        <v>35683.599999999999</v>
      </c>
    </row>
    <row r="36" spans="1:16" x14ac:dyDescent="0.25">
      <c r="B36">
        <f>1/(1+$H$43%)^B31</f>
        <v>1</v>
      </c>
      <c r="C36">
        <f>1/(1+$H$43)^C31</f>
        <v>0.89285714285714279</v>
      </c>
      <c r="D36">
        <f t="shared" ref="D36:F36" si="2">1/(1+$H$43)^D31</f>
        <v>0.79719387755102034</v>
      </c>
      <c r="E36">
        <f t="shared" si="2"/>
        <v>0.71178024781341087</v>
      </c>
      <c r="F36">
        <f t="shared" si="2"/>
        <v>0.63551807840483121</v>
      </c>
      <c r="H36" t="s">
        <v>39</v>
      </c>
    </row>
    <row r="37" spans="1:16" x14ac:dyDescent="0.25">
      <c r="B37">
        <f>B35*B36</f>
        <v>-42000</v>
      </c>
      <c r="C37">
        <f t="shared" ref="C37:F37" si="3">C35*C36</f>
        <v>2926.4285714285711</v>
      </c>
      <c r="D37">
        <f t="shared" si="3"/>
        <v>12862.165178571428</v>
      </c>
      <c r="E37">
        <f t="shared" si="3"/>
        <v>25983.324412354217</v>
      </c>
      <c r="F37">
        <f t="shared" si="3"/>
        <v>22677.572902566633</v>
      </c>
      <c r="G37">
        <f>SUM(C37:F37)</f>
        <v>64449.491064920847</v>
      </c>
    </row>
    <row r="38" spans="1:16" x14ac:dyDescent="0.25">
      <c r="H38" t="s">
        <v>40</v>
      </c>
      <c r="I38" t="s">
        <v>41</v>
      </c>
    </row>
    <row r="39" spans="1:16" x14ac:dyDescent="0.25">
      <c r="B39" s="9">
        <f>H39*(G37*H40)+I39*(C37+SUM(D37:G37)*I41)</f>
        <v>40484.420665705693</v>
      </c>
      <c r="G39" t="s">
        <v>42</v>
      </c>
      <c r="H39" s="6">
        <v>0.25</v>
      </c>
      <c r="I39" s="6">
        <v>0.75</v>
      </c>
    </row>
    <row r="40" spans="1:16" x14ac:dyDescent="0.25">
      <c r="G40" t="s">
        <v>43</v>
      </c>
      <c r="H40" s="6">
        <v>0.5</v>
      </c>
    </row>
    <row r="41" spans="1:16" x14ac:dyDescent="0.25">
      <c r="G41" t="s">
        <v>44</v>
      </c>
      <c r="I41" s="7">
        <f>80%*40%</f>
        <v>0.32000000000000006</v>
      </c>
    </row>
    <row r="43" spans="1:16" x14ac:dyDescent="0.25">
      <c r="G43" t="s">
        <v>45</v>
      </c>
      <c r="H43" s="6">
        <v>0.12</v>
      </c>
      <c r="I43">
        <f>H44+H45*(H46)</f>
        <v>15.345652148493397</v>
      </c>
    </row>
    <row r="44" spans="1:16" x14ac:dyDescent="0.25">
      <c r="G44" t="s">
        <v>20</v>
      </c>
      <c r="H44">
        <v>4</v>
      </c>
    </row>
    <row r="45" spans="1:16" x14ac:dyDescent="0.25">
      <c r="G45" t="s">
        <v>46</v>
      </c>
      <c r="H45">
        <f>H50</f>
        <v>1.8909420247488993</v>
      </c>
    </row>
    <row r="46" spans="1:16" x14ac:dyDescent="0.25">
      <c r="G46" t="s">
        <v>47</v>
      </c>
      <c r="H46">
        <v>6</v>
      </c>
    </row>
    <row r="48" spans="1:16" x14ac:dyDescent="0.25">
      <c r="H48" t="s">
        <v>49</v>
      </c>
      <c r="I48" t="s">
        <v>50</v>
      </c>
    </row>
    <row r="49" spans="7:13" x14ac:dyDescent="0.25">
      <c r="G49" t="s">
        <v>48</v>
      </c>
      <c r="H49" s="6">
        <v>0.15</v>
      </c>
      <c r="I49" s="6">
        <v>0.85</v>
      </c>
    </row>
    <row r="50" spans="7:13" x14ac:dyDescent="0.25">
      <c r="G50" t="s">
        <v>51</v>
      </c>
      <c r="H50">
        <f>H51/(C9/(C9+C16*0.8))</f>
        <v>1.8909420247488993</v>
      </c>
      <c r="I50" s="14">
        <f>K51</f>
        <v>1.4346666666666668</v>
      </c>
      <c r="J50">
        <v>1.6</v>
      </c>
    </row>
    <row r="51" spans="7:13" x14ac:dyDescent="0.25">
      <c r="G51" t="s">
        <v>53</v>
      </c>
      <c r="H51">
        <f>K55</f>
        <v>1.4146220570012389</v>
      </c>
      <c r="I51" s="16">
        <v>0.8</v>
      </c>
      <c r="K51" s="14">
        <f>I51/(H53/(H53+H54*0.8))</f>
        <v>1.4346666666666668</v>
      </c>
      <c r="L51" s="15" t="s">
        <v>54</v>
      </c>
    </row>
    <row r="53" spans="7:13" x14ac:dyDescent="0.25">
      <c r="G53" t="s">
        <v>4</v>
      </c>
      <c r="H53">
        <f>4.5*80000</f>
        <v>360000</v>
      </c>
      <c r="L53" t="s">
        <v>49</v>
      </c>
      <c r="M53" t="s">
        <v>50</v>
      </c>
    </row>
    <row r="54" spans="7:13" x14ac:dyDescent="0.25">
      <c r="G54" t="s">
        <v>52</v>
      </c>
      <c r="H54">
        <f>340000/100*105</f>
        <v>357000</v>
      </c>
      <c r="J54" t="s">
        <v>55</v>
      </c>
      <c r="K54">
        <f>J50*H53/(H53+H54*0.8)</f>
        <v>0.89219330855018586</v>
      </c>
      <c r="L54" s="2" t="s">
        <v>56</v>
      </c>
      <c r="M54">
        <f>I51*I49</f>
        <v>0.68</v>
      </c>
    </row>
    <row r="55" spans="7:13" x14ac:dyDescent="0.25">
      <c r="K55">
        <f>(K54-M54)/0.15</f>
        <v>1.4146220570012389</v>
      </c>
    </row>
    <row r="56" spans="7:13" x14ac:dyDescent="0.25">
      <c r="J56" s="14">
        <f>1.6/(I50*I49)</f>
        <v>1.3120489831620381</v>
      </c>
      <c r="L56" t="e">
        <f>L54/(H53/(H53+H54*0.8))</f>
        <v>#VALUE!</v>
      </c>
    </row>
    <row r="57" spans="7:13" x14ac:dyDescent="0.25">
      <c r="J57" s="14">
        <f>J56/15%</f>
        <v>8.7469932210802543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0"/>
  <sheetViews>
    <sheetView tabSelected="1" workbookViewId="0">
      <selection activeCell="B8" sqref="B8"/>
    </sheetView>
  </sheetViews>
  <sheetFormatPr defaultRowHeight="15" x14ac:dyDescent="0.25"/>
  <cols>
    <col min="1" max="1" width="16.140625" bestFit="1" customWidth="1"/>
    <col min="2" max="2" width="11.5703125" customWidth="1"/>
    <col min="4" max="4" width="18.28515625" bestFit="1" customWidth="1"/>
    <col min="6" max="6" width="25.140625" customWidth="1"/>
  </cols>
  <sheetData>
    <row r="1" spans="1:7" x14ac:dyDescent="0.25">
      <c r="A1" s="1" t="s">
        <v>58</v>
      </c>
    </row>
    <row r="2" spans="1:7" x14ac:dyDescent="0.25">
      <c r="A2" s="1" t="s">
        <v>59</v>
      </c>
    </row>
    <row r="3" spans="1:7" x14ac:dyDescent="0.25">
      <c r="A3" s="1" t="s">
        <v>60</v>
      </c>
    </row>
    <row r="5" spans="1:7" x14ac:dyDescent="0.25">
      <c r="A5" t="s">
        <v>61</v>
      </c>
    </row>
    <row r="6" spans="1:7" ht="15.75" thickBot="1" x14ac:dyDescent="0.3">
      <c r="A6" t="s">
        <v>64</v>
      </c>
    </row>
    <row r="7" spans="1:7" x14ac:dyDescent="0.25">
      <c r="E7" s="37" t="s">
        <v>130</v>
      </c>
      <c r="F7" s="38" t="s">
        <v>135</v>
      </c>
      <c r="G7" s="39" t="s">
        <v>136</v>
      </c>
    </row>
    <row r="8" spans="1:7" ht="15.75" thickBot="1" x14ac:dyDescent="0.3">
      <c r="A8" s="1" t="s">
        <v>63</v>
      </c>
      <c r="B8">
        <v>36000</v>
      </c>
      <c r="C8" s="8" t="s">
        <v>65</v>
      </c>
      <c r="E8" s="40" t="s">
        <v>139</v>
      </c>
      <c r="F8" s="35" t="s">
        <v>137</v>
      </c>
      <c r="G8" s="36" t="s">
        <v>138</v>
      </c>
    </row>
    <row r="9" spans="1:7" x14ac:dyDescent="0.25">
      <c r="A9" t="s">
        <v>87</v>
      </c>
      <c r="B9">
        <v>500</v>
      </c>
      <c r="E9" s="13"/>
      <c r="F9" s="13"/>
      <c r="G9" s="13"/>
    </row>
    <row r="10" spans="1:7" x14ac:dyDescent="0.25">
      <c r="A10" t="s">
        <v>88</v>
      </c>
      <c r="B10">
        <f>B8/B9*4/3</f>
        <v>96</v>
      </c>
    </row>
    <row r="11" spans="1:7" x14ac:dyDescent="0.25">
      <c r="B11" s="9">
        <f>3/12</f>
        <v>0.25</v>
      </c>
    </row>
    <row r="17" spans="1:11" x14ac:dyDescent="0.25">
      <c r="A17" t="s">
        <v>66</v>
      </c>
      <c r="B17" t="s">
        <v>69</v>
      </c>
      <c r="C17" t="s">
        <v>71</v>
      </c>
      <c r="K17" s="13"/>
    </row>
    <row r="18" spans="1:11" x14ac:dyDescent="0.25">
      <c r="A18" t="s">
        <v>67</v>
      </c>
      <c r="B18" s="7">
        <v>5.7000000000000002E-2</v>
      </c>
      <c r="C18" s="7">
        <v>6.6000000000000003E-2</v>
      </c>
    </row>
    <row r="19" spans="1:11" x14ac:dyDescent="0.25">
      <c r="A19" t="s">
        <v>68</v>
      </c>
      <c r="B19" s="7">
        <v>4.0000000000000001E-3</v>
      </c>
    </row>
    <row r="21" spans="1:11" x14ac:dyDescent="0.25">
      <c r="A21" t="s">
        <v>73</v>
      </c>
      <c r="B21" s="7">
        <v>5.8999999999999997E-2</v>
      </c>
    </row>
    <row r="22" spans="1:11" x14ac:dyDescent="0.25">
      <c r="A22" s="42" t="s">
        <v>100</v>
      </c>
      <c r="B22" s="41"/>
      <c r="C22" s="41"/>
      <c r="D22" s="41"/>
      <c r="E22" s="41"/>
      <c r="F22" s="41"/>
      <c r="G22" s="41"/>
    </row>
    <row r="23" spans="1:11" x14ac:dyDescent="0.25">
      <c r="B23" t="s">
        <v>62</v>
      </c>
      <c r="C23" t="s">
        <v>72</v>
      </c>
      <c r="D23" t="s">
        <v>74</v>
      </c>
    </row>
    <row r="24" spans="1:11" x14ac:dyDescent="0.25">
      <c r="B24">
        <f>B8</f>
        <v>36000</v>
      </c>
      <c r="C24" s="7">
        <f>B21</f>
        <v>5.8999999999999997E-2</v>
      </c>
      <c r="D24" s="9">
        <f>4/12</f>
        <v>0.33333333333333331</v>
      </c>
      <c r="E24">
        <f>-B24*C24*D24</f>
        <v>-708</v>
      </c>
      <c r="F24" s="13" t="s">
        <v>77</v>
      </c>
      <c r="G24" s="13"/>
      <c r="H24" s="13"/>
      <c r="I24" s="13"/>
      <c r="J24" s="13"/>
    </row>
    <row r="25" spans="1:11" x14ac:dyDescent="0.25">
      <c r="B25" s="17">
        <f>B8</f>
        <v>36000</v>
      </c>
      <c r="C25" s="7">
        <f>C18</f>
        <v>6.6000000000000003E-2</v>
      </c>
      <c r="D25" s="9">
        <f>4/12</f>
        <v>0.33333333333333331</v>
      </c>
      <c r="E25" s="5">
        <f>B25*C25*D25</f>
        <v>792</v>
      </c>
    </row>
    <row r="27" spans="1:11" x14ac:dyDescent="0.25">
      <c r="B27" t="s">
        <v>75</v>
      </c>
      <c r="E27">
        <f>-SUM(E24:E25)</f>
        <v>-84</v>
      </c>
    </row>
    <row r="28" spans="1:11" x14ac:dyDescent="0.25">
      <c r="B28" s="17">
        <v>36</v>
      </c>
      <c r="C28" s="7">
        <f>6.6%+B19</f>
        <v>7.0000000000000007E-2</v>
      </c>
      <c r="D28" s="9">
        <v>0.33333333333333331</v>
      </c>
      <c r="E28" s="5">
        <f>B28*C28*D28</f>
        <v>0.84000000000000008</v>
      </c>
    </row>
    <row r="29" spans="1:11" x14ac:dyDescent="0.25">
      <c r="B29" t="s">
        <v>76</v>
      </c>
      <c r="E29">
        <f>SUM(E27:E28)</f>
        <v>-83.16</v>
      </c>
    </row>
    <row r="30" spans="1:11" x14ac:dyDescent="0.25">
      <c r="E30" s="23">
        <f>E29/(B24*D28)</f>
        <v>-6.9299999999999995E-3</v>
      </c>
    </row>
    <row r="31" spans="1:11" x14ac:dyDescent="0.25">
      <c r="A31" s="42" t="s">
        <v>101</v>
      </c>
      <c r="B31" s="41"/>
      <c r="C31" s="41"/>
      <c r="D31" s="41"/>
      <c r="E31" s="41"/>
      <c r="F31" s="41"/>
      <c r="G31" s="41"/>
    </row>
    <row r="33" spans="1:4" x14ac:dyDescent="0.25">
      <c r="A33" t="s">
        <v>78</v>
      </c>
    </row>
    <row r="34" spans="1:4" x14ac:dyDescent="0.25">
      <c r="B34" t="s">
        <v>81</v>
      </c>
      <c r="C34" s="2" t="s">
        <v>82</v>
      </c>
    </row>
    <row r="35" spans="1:4" x14ac:dyDescent="0.25">
      <c r="A35" t="s">
        <v>80</v>
      </c>
      <c r="B35" s="18">
        <f>100%-B18</f>
        <v>0.94299999999999995</v>
      </c>
      <c r="C35" s="21">
        <f>100%-C18</f>
        <v>0.93399999999999994</v>
      </c>
    </row>
    <row r="36" spans="1:4" x14ac:dyDescent="0.25">
      <c r="A36" t="s">
        <v>70</v>
      </c>
      <c r="B36" s="20">
        <v>0.9395</v>
      </c>
      <c r="C36" s="24">
        <f>C35-C37</f>
        <v>0.93259999999999998</v>
      </c>
    </row>
    <row r="37" spans="1:4" x14ac:dyDescent="0.25">
      <c r="A37" t="s">
        <v>79</v>
      </c>
      <c r="B37" s="18">
        <f>B35-B36</f>
        <v>3.4999999999999476E-3</v>
      </c>
      <c r="C37" s="18">
        <f>B37/5*2</f>
        <v>1.399999999999979E-3</v>
      </c>
    </row>
    <row r="40" spans="1:4" x14ac:dyDescent="0.25">
      <c r="A40" t="s">
        <v>83</v>
      </c>
      <c r="B40">
        <v>36</v>
      </c>
      <c r="C40" s="22">
        <f>100%-B36</f>
        <v>6.0499999999999998E-2</v>
      </c>
      <c r="D40" s="9">
        <f>4/12</f>
        <v>0.33333333333333331</v>
      </c>
    </row>
    <row r="41" spans="1:4" x14ac:dyDescent="0.25">
      <c r="A41" t="s">
        <v>70</v>
      </c>
      <c r="B41">
        <v>36</v>
      </c>
      <c r="C41" s="22">
        <f>100%-C36</f>
        <v>6.7400000000000015E-2</v>
      </c>
      <c r="D41" s="9">
        <f>4/12</f>
        <v>0.33333333333333331</v>
      </c>
    </row>
    <row r="43" spans="1:4" x14ac:dyDescent="0.25">
      <c r="A43" t="s">
        <v>84</v>
      </c>
    </row>
    <row r="44" spans="1:4" x14ac:dyDescent="0.25">
      <c r="A44" t="s">
        <v>85</v>
      </c>
      <c r="B44" t="s">
        <v>95</v>
      </c>
      <c r="C44" s="7">
        <f>B36</f>
        <v>0.9395</v>
      </c>
      <c r="D44" s="41" t="s">
        <v>89</v>
      </c>
    </row>
    <row r="45" spans="1:4" x14ac:dyDescent="0.25">
      <c r="A45" t="s">
        <v>86</v>
      </c>
      <c r="B45" t="s">
        <v>96</v>
      </c>
      <c r="C45" s="19">
        <f>-C36</f>
        <v>-0.93259999999999998</v>
      </c>
      <c r="D45" s="41"/>
    </row>
    <row r="46" spans="1:4" x14ac:dyDescent="0.25">
      <c r="C46" s="7">
        <f>SUM(C44:C45)</f>
        <v>6.9000000000000172E-3</v>
      </c>
      <c r="D46" t="s">
        <v>99</v>
      </c>
    </row>
    <row r="48" spans="1:4" x14ac:dyDescent="0.25">
      <c r="A48" t="s">
        <v>91</v>
      </c>
      <c r="B48" t="s">
        <v>90</v>
      </c>
      <c r="C48">
        <f>C46*B9*B10*B11</f>
        <v>82.80000000000021</v>
      </c>
    </row>
    <row r="49" spans="1:4" x14ac:dyDescent="0.25">
      <c r="A49" t="s">
        <v>97</v>
      </c>
      <c r="B49">
        <f>B8*C28*D24</f>
        <v>840.00000000000011</v>
      </c>
      <c r="D49" t="s">
        <v>92</v>
      </c>
    </row>
    <row r="50" spans="1:4" x14ac:dyDescent="0.25">
      <c r="A50" t="s">
        <v>93</v>
      </c>
      <c r="B50">
        <f>-C48</f>
        <v>-82.80000000000021</v>
      </c>
      <c r="D50" t="s">
        <v>98</v>
      </c>
    </row>
    <row r="51" spans="1:4" x14ac:dyDescent="0.25">
      <c r="A51" t="s">
        <v>94</v>
      </c>
      <c r="B51" s="16">
        <f>SUM(B49:B50)</f>
        <v>757.19999999999993</v>
      </c>
    </row>
    <row r="54" spans="1:4" x14ac:dyDescent="0.25">
      <c r="A54">
        <f>B51/(B8*4/12)</f>
        <v>6.3099999999999989E-2</v>
      </c>
    </row>
    <row r="57" spans="1:4" x14ac:dyDescent="0.25">
      <c r="C57" s="7"/>
    </row>
    <row r="58" spans="1:4" x14ac:dyDescent="0.25">
      <c r="A58" s="13" t="s">
        <v>102</v>
      </c>
      <c r="B58" s="13"/>
      <c r="C58" s="25">
        <v>0.9375</v>
      </c>
      <c r="D58" s="13" t="s">
        <v>107</v>
      </c>
    </row>
    <row r="59" spans="1:4" x14ac:dyDescent="0.25">
      <c r="A59" s="13" t="s">
        <v>103</v>
      </c>
      <c r="B59" s="13"/>
      <c r="C59" s="25">
        <f>C36</f>
        <v>0.93259999999999998</v>
      </c>
      <c r="D59" s="13" t="s">
        <v>108</v>
      </c>
    </row>
    <row r="60" spans="1:4" x14ac:dyDescent="0.25">
      <c r="A60" s="13"/>
      <c r="B60" s="13"/>
      <c r="C60" s="13" t="s">
        <v>41</v>
      </c>
    </row>
    <row r="61" spans="1:4" x14ac:dyDescent="0.25">
      <c r="A61" s="13" t="s">
        <v>104</v>
      </c>
      <c r="B61" s="13"/>
      <c r="C61" s="26">
        <f>0.490000000000002%</f>
        <v>4.9000000000000198E-3</v>
      </c>
    </row>
    <row r="64" spans="1:4" x14ac:dyDescent="0.25">
      <c r="A64" t="s">
        <v>105</v>
      </c>
      <c r="C64">
        <f>-B49</f>
        <v>-840.00000000000011</v>
      </c>
    </row>
    <row r="65" spans="1:4" x14ac:dyDescent="0.25">
      <c r="A65" t="s">
        <v>84</v>
      </c>
      <c r="C65">
        <f>C61*3/12*B9*B10</f>
        <v>58.800000000000239</v>
      </c>
      <c r="D65" t="s">
        <v>106</v>
      </c>
    </row>
    <row r="66" spans="1:4" x14ac:dyDescent="0.25">
      <c r="A66" t="s">
        <v>68</v>
      </c>
      <c r="C66">
        <f>B9*B10*0.00087*-3/12</f>
        <v>-10.44</v>
      </c>
    </row>
    <row r="68" spans="1:4" x14ac:dyDescent="0.25">
      <c r="C68">
        <f>SUM(C64:C66)</f>
        <v>-791.63999999999987</v>
      </c>
    </row>
    <row r="70" spans="1:4" x14ac:dyDescent="0.25">
      <c r="A70" s="13" t="s">
        <v>109</v>
      </c>
      <c r="B70" s="13"/>
      <c r="C70" s="13"/>
      <c r="D70" s="13"/>
    </row>
    <row r="72" spans="1:4" x14ac:dyDescent="0.25">
      <c r="A72" s="3" t="s">
        <v>110</v>
      </c>
    </row>
    <row r="74" spans="1:4" x14ac:dyDescent="0.25">
      <c r="A74" t="s">
        <v>111</v>
      </c>
    </row>
    <row r="75" spans="1:4" x14ac:dyDescent="0.25">
      <c r="A75" t="s">
        <v>112</v>
      </c>
    </row>
    <row r="77" spans="1:4" x14ac:dyDescent="0.25">
      <c r="A77" t="s">
        <v>126</v>
      </c>
      <c r="B77" t="s">
        <v>127</v>
      </c>
    </row>
    <row r="78" spans="1:4" x14ac:dyDescent="0.25">
      <c r="A78" t="s">
        <v>118</v>
      </c>
      <c r="B78">
        <v>4</v>
      </c>
    </row>
    <row r="79" spans="1:4" x14ac:dyDescent="0.25">
      <c r="A79" t="s">
        <v>113</v>
      </c>
      <c r="B79" t="s">
        <v>117</v>
      </c>
    </row>
    <row r="80" spans="1:4" x14ac:dyDescent="0.25">
      <c r="A80" t="s">
        <v>114</v>
      </c>
      <c r="B80" s="27">
        <v>-14500000</v>
      </c>
      <c r="D80" t="s">
        <v>115</v>
      </c>
    </row>
    <row r="81" spans="1:4 16384:16384" x14ac:dyDescent="0.25">
      <c r="A81" t="s">
        <v>115</v>
      </c>
      <c r="B81" s="28">
        <v>37400000</v>
      </c>
    </row>
    <row r="82" spans="1:4 16384:16384" x14ac:dyDescent="0.25">
      <c r="A82" t="s">
        <v>116</v>
      </c>
      <c r="B82" s="28">
        <f>SUM(B80:B81)</f>
        <v>22900000</v>
      </c>
    </row>
    <row r="84" spans="1:4 16384:16384" x14ac:dyDescent="0.25">
      <c r="A84" s="3" t="s">
        <v>120</v>
      </c>
      <c r="B84" t="s">
        <v>117</v>
      </c>
      <c r="C84" t="s">
        <v>122</v>
      </c>
      <c r="D84" t="s">
        <v>121</v>
      </c>
    </row>
    <row r="85" spans="1:4 16384:16384" x14ac:dyDescent="0.25">
      <c r="A85" t="s">
        <v>80</v>
      </c>
      <c r="B85" s="27">
        <f>B82</f>
        <v>22900000</v>
      </c>
      <c r="C85">
        <v>0.23580000000000001</v>
      </c>
      <c r="D85">
        <f>B85/C85</f>
        <v>97116200.169635281</v>
      </c>
    </row>
    <row r="86" spans="1:4 16384:16384" x14ac:dyDescent="0.25">
      <c r="A86" t="s">
        <v>123</v>
      </c>
      <c r="B86" s="27">
        <v>22900000</v>
      </c>
      <c r="C86">
        <v>0.2374</v>
      </c>
      <c r="D86" s="5">
        <f>-B86/C86</f>
        <v>-96461668.070766643</v>
      </c>
    </row>
    <row r="87" spans="1:4 16384:16384" x14ac:dyDescent="0.25">
      <c r="A87" t="s">
        <v>124</v>
      </c>
      <c r="D87" s="5">
        <f>SUM(D85:D86)</f>
        <v>654532.09886863828</v>
      </c>
    </row>
    <row r="90" spans="1:4 16384:16384" x14ac:dyDescent="0.25">
      <c r="A90" s="3" t="s">
        <v>70</v>
      </c>
    </row>
    <row r="91" spans="1:4 16384:16384" x14ac:dyDescent="0.25">
      <c r="B91" t="s">
        <v>121</v>
      </c>
    </row>
    <row r="92" spans="1:4 16384:16384" x14ac:dyDescent="0.25">
      <c r="A92" t="s">
        <v>128</v>
      </c>
      <c r="B92">
        <v>500000</v>
      </c>
    </row>
    <row r="93" spans="1:4 16384:16384" x14ac:dyDescent="0.25">
      <c r="A93" t="s">
        <v>130</v>
      </c>
      <c r="B93">
        <f>B86/F104</f>
        <v>96461668.070766643</v>
      </c>
    </row>
    <row r="94" spans="1:4 16384:16384" x14ac:dyDescent="0.25">
      <c r="A94" t="s">
        <v>131</v>
      </c>
      <c r="B94">
        <v>193</v>
      </c>
      <c r="C94">
        <f>B93/B92</f>
        <v>192.9233361415333</v>
      </c>
      <c r="XFD94" t="s">
        <v>132</v>
      </c>
    </row>
    <row r="97" spans="1:9" x14ac:dyDescent="0.25">
      <c r="A97" t="s">
        <v>119</v>
      </c>
    </row>
    <row r="98" spans="1:9" x14ac:dyDescent="0.25">
      <c r="F98" t="s">
        <v>129</v>
      </c>
      <c r="G98" t="s">
        <v>125</v>
      </c>
    </row>
    <row r="99" spans="1:9" x14ac:dyDescent="0.25">
      <c r="A99" t="s">
        <v>133</v>
      </c>
      <c r="B99" s="32">
        <f>B94*B92*F104</f>
        <v>22909100</v>
      </c>
      <c r="E99" t="s">
        <v>80</v>
      </c>
      <c r="F99" s="12">
        <v>0.23580000000000001</v>
      </c>
      <c r="G99" s="12">
        <f>F100</f>
        <v>0.23780000000000001</v>
      </c>
    </row>
    <row r="100" spans="1:9" x14ac:dyDescent="0.25">
      <c r="A100" t="s">
        <v>134</v>
      </c>
      <c r="B100" s="27">
        <f>B86</f>
        <v>22900000</v>
      </c>
      <c r="E100" t="s">
        <v>70</v>
      </c>
      <c r="F100" s="29">
        <v>0.23780000000000001</v>
      </c>
      <c r="G100" s="29">
        <f>F100+G101</f>
        <v>0.2374</v>
      </c>
      <c r="I100" s="12">
        <f>G101+F99</f>
        <v>0.2354</v>
      </c>
    </row>
    <row r="101" spans="1:9" x14ac:dyDescent="0.25">
      <c r="B101" s="33">
        <f>B99-B100</f>
        <v>9100</v>
      </c>
      <c r="E101" t="s">
        <v>79</v>
      </c>
      <c r="F101" s="12">
        <f>F99-F100</f>
        <v>-2.0000000000000018E-3</v>
      </c>
      <c r="G101">
        <f>F101/5</f>
        <v>-4.0000000000000034E-4</v>
      </c>
    </row>
    <row r="102" spans="1:9" x14ac:dyDescent="0.25">
      <c r="B102" s="34">
        <f>B101/F104</f>
        <v>38331.929233361414</v>
      </c>
      <c r="F102" s="30">
        <f>F101/5</f>
        <v>-4.0000000000000034E-4</v>
      </c>
    </row>
    <row r="103" spans="1:9" x14ac:dyDescent="0.25">
      <c r="F103" s="31">
        <f>F100</f>
        <v>0.23780000000000001</v>
      </c>
    </row>
    <row r="104" spans="1:9" x14ac:dyDescent="0.25">
      <c r="F104" s="12">
        <f>SUM(F102:F103)</f>
        <v>0.2374</v>
      </c>
    </row>
    <row r="106" spans="1:9" x14ac:dyDescent="0.25">
      <c r="A106" t="s">
        <v>70</v>
      </c>
      <c r="B106" s="12">
        <f>F100</f>
        <v>0.23780000000000001</v>
      </c>
    </row>
    <row r="107" spans="1:9" x14ac:dyDescent="0.25">
      <c r="A107" t="s">
        <v>140</v>
      </c>
      <c r="B107">
        <v>0.23680000000000001</v>
      </c>
    </row>
    <row r="108" spans="1:9" x14ac:dyDescent="0.25">
      <c r="A108" t="s">
        <v>104</v>
      </c>
      <c r="B108" s="12">
        <f>B106-B107</f>
        <v>1.0000000000000009E-3</v>
      </c>
    </row>
    <row r="109" spans="1:9" x14ac:dyDescent="0.25">
      <c r="A109" t="s">
        <v>139</v>
      </c>
      <c r="B109">
        <f>B108*B94*B92</f>
        <v>96500.000000000087</v>
      </c>
    </row>
    <row r="110" spans="1:9" x14ac:dyDescent="0.25">
      <c r="B110">
        <f>0.23/B106*B94*B92</f>
        <v>93334735.071488649</v>
      </c>
    </row>
  </sheetData>
  <mergeCells count="3">
    <mergeCell ref="D44:D45"/>
    <mergeCell ref="A22:G22"/>
    <mergeCell ref="A31:G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M60"/>
  <sheetViews>
    <sheetView workbookViewId="0">
      <selection activeCell="C16" sqref="C16"/>
    </sheetView>
  </sheetViews>
  <sheetFormatPr defaultRowHeight="15" x14ac:dyDescent="0.25"/>
  <cols>
    <col min="1" max="1" width="13.5703125" bestFit="1" customWidth="1"/>
    <col min="2" max="2" width="14.28515625" bestFit="1" customWidth="1"/>
    <col min="3" max="3" width="14.42578125" bestFit="1" customWidth="1"/>
    <col min="4" max="5" width="14.28515625" bestFit="1" customWidth="1"/>
    <col min="6" max="6" width="9.85546875" bestFit="1" customWidth="1"/>
    <col min="10" max="10" width="12.5703125" bestFit="1" customWidth="1"/>
  </cols>
  <sheetData>
    <row r="7" spans="1:2" x14ac:dyDescent="0.25">
      <c r="A7" t="s">
        <v>141</v>
      </c>
    </row>
    <row r="8" spans="1:2" x14ac:dyDescent="0.25">
      <c r="A8" t="s">
        <v>142</v>
      </c>
      <c r="B8" t="s">
        <v>143</v>
      </c>
    </row>
    <row r="10" spans="1:2" x14ac:dyDescent="0.25">
      <c r="A10" s="43" t="s">
        <v>144</v>
      </c>
    </row>
    <row r="16" spans="1:2" x14ac:dyDescent="0.25">
      <c r="A16" t="s">
        <v>145</v>
      </c>
    </row>
    <row r="18" spans="1:13" x14ac:dyDescent="0.25">
      <c r="B18" t="s">
        <v>117</v>
      </c>
    </row>
    <row r="19" spans="1:13" x14ac:dyDescent="0.25">
      <c r="A19" t="s">
        <v>146</v>
      </c>
      <c r="B19" t="s">
        <v>147</v>
      </c>
      <c r="C19" s="44">
        <v>-14500000</v>
      </c>
      <c r="D19" s="44"/>
      <c r="E19" s="44"/>
      <c r="F19" s="44"/>
      <c r="G19" s="44"/>
      <c r="H19" s="44"/>
      <c r="I19" s="44"/>
      <c r="J19" s="44"/>
      <c r="K19" s="44"/>
      <c r="L19" s="44"/>
      <c r="M19" s="44"/>
    </row>
    <row r="20" spans="1:13" x14ac:dyDescent="0.25">
      <c r="B20" t="s">
        <v>115</v>
      </c>
      <c r="C20" s="45">
        <v>37400000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</row>
    <row r="21" spans="1:13" x14ac:dyDescent="0.25">
      <c r="B21" t="s">
        <v>148</v>
      </c>
      <c r="C21" s="44">
        <f>SUM(C19:C20)</f>
        <v>22900000</v>
      </c>
      <c r="D21" s="44"/>
      <c r="E21" s="44"/>
      <c r="F21" s="44"/>
      <c r="G21" s="44"/>
      <c r="H21" s="44"/>
      <c r="I21" s="44"/>
      <c r="J21" s="44"/>
      <c r="K21" s="44"/>
      <c r="L21" s="44"/>
      <c r="M21" s="44"/>
    </row>
    <row r="22" spans="1:13" x14ac:dyDescent="0.25"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</row>
    <row r="23" spans="1:13" x14ac:dyDescent="0.25"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</row>
    <row r="24" spans="1:13" x14ac:dyDescent="0.25">
      <c r="A24" s="3" t="s">
        <v>120</v>
      </c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</row>
    <row r="25" spans="1:13" x14ac:dyDescent="0.25">
      <c r="A25" t="s">
        <v>117</v>
      </c>
      <c r="B25" t="s">
        <v>149</v>
      </c>
      <c r="C25" s="44" t="s">
        <v>150</v>
      </c>
      <c r="D25" s="44"/>
      <c r="E25" s="44"/>
      <c r="F25" s="44"/>
      <c r="G25" s="44"/>
      <c r="H25" s="44"/>
      <c r="I25" s="44"/>
      <c r="J25" s="44"/>
      <c r="K25" s="44"/>
      <c r="L25" s="44"/>
      <c r="M25" s="44"/>
    </row>
    <row r="26" spans="1:13" x14ac:dyDescent="0.25">
      <c r="A26" s="44">
        <f>C21</f>
        <v>22900000</v>
      </c>
      <c r="B26">
        <v>0.2374</v>
      </c>
      <c r="C26" s="46">
        <f>A26/B26</f>
        <v>96461668.070766643</v>
      </c>
      <c r="D26" s="44"/>
      <c r="E26" s="44"/>
      <c r="F26" s="44"/>
      <c r="G26" s="44"/>
      <c r="H26" s="44"/>
      <c r="I26" s="44"/>
      <c r="J26" s="44"/>
      <c r="K26" s="44"/>
      <c r="L26" s="44"/>
      <c r="M26" s="44"/>
    </row>
    <row r="27" spans="1:13" x14ac:dyDescent="0.25"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</row>
    <row r="28" spans="1:13" x14ac:dyDescent="0.25"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</row>
    <row r="29" spans="1:13" x14ac:dyDescent="0.25">
      <c r="A29" s="3" t="s">
        <v>78</v>
      </c>
      <c r="B29" t="s">
        <v>150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</row>
    <row r="30" spans="1:13" x14ac:dyDescent="0.25">
      <c r="A30" s="44" t="s">
        <v>115</v>
      </c>
      <c r="B30" s="47">
        <f>C21/J35</f>
        <v>96461668.070766643</v>
      </c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</row>
    <row r="31" spans="1:13" x14ac:dyDescent="0.25">
      <c r="A31" t="s">
        <v>151</v>
      </c>
      <c r="B31">
        <v>500000</v>
      </c>
      <c r="G31" s="44"/>
      <c r="H31" s="48"/>
      <c r="I31" s="48" t="s">
        <v>117</v>
      </c>
      <c r="J31" s="48" t="s">
        <v>117</v>
      </c>
      <c r="K31" s="48" t="s">
        <v>117</v>
      </c>
      <c r="L31" s="44"/>
      <c r="M31" s="44"/>
    </row>
    <row r="32" spans="1:13" x14ac:dyDescent="0.25">
      <c r="A32" t="s">
        <v>152</v>
      </c>
      <c r="B32">
        <f>B30/B31</f>
        <v>192.9233361415333</v>
      </c>
      <c r="C32">
        <f>ROUND(B32,0)</f>
        <v>193</v>
      </c>
      <c r="G32" s="44"/>
      <c r="H32" s="48"/>
      <c r="I32" s="49" t="s">
        <v>153</v>
      </c>
      <c r="J32" s="49" t="s">
        <v>154</v>
      </c>
      <c r="K32" s="49" t="s">
        <v>155</v>
      </c>
      <c r="L32" s="44"/>
      <c r="M32" s="44"/>
    </row>
    <row r="33" spans="1:13" x14ac:dyDescent="0.25">
      <c r="G33" s="44"/>
      <c r="H33" s="48" t="s">
        <v>80</v>
      </c>
      <c r="I33" s="50">
        <v>0.23580000000000001</v>
      </c>
      <c r="J33" s="51"/>
      <c r="K33" s="50"/>
      <c r="L33" s="44"/>
      <c r="M33" s="44"/>
    </row>
    <row r="34" spans="1:13" x14ac:dyDescent="0.25">
      <c r="G34" s="44"/>
      <c r="H34" s="48" t="s">
        <v>79</v>
      </c>
      <c r="I34" s="51">
        <f>I35-I33</f>
        <v>2.0000000000000018E-3</v>
      </c>
      <c r="J34" s="52"/>
      <c r="K34" s="51"/>
      <c r="L34" s="44"/>
      <c r="M34" s="44"/>
    </row>
    <row r="35" spans="1:13" x14ac:dyDescent="0.25">
      <c r="G35" s="44"/>
      <c r="H35" s="13" t="s">
        <v>70</v>
      </c>
      <c r="I35" s="51">
        <v>0.23780000000000001</v>
      </c>
      <c r="J35" s="51">
        <f>I33+I34/5*4</f>
        <v>0.2374</v>
      </c>
      <c r="K35" s="51">
        <f>I33+I34/5*5</f>
        <v>0.23780000000000001</v>
      </c>
      <c r="L35" s="44"/>
      <c r="M35" s="44"/>
    </row>
    <row r="36" spans="1:13" x14ac:dyDescent="0.25">
      <c r="A36" t="s">
        <v>156</v>
      </c>
      <c r="C36" s="44"/>
      <c r="D36" s="44"/>
      <c r="E36" s="44"/>
      <c r="F36" s="44"/>
      <c r="G36" s="44"/>
      <c r="H36" s="13"/>
      <c r="I36" s="13"/>
      <c r="J36" s="13"/>
      <c r="K36" s="48"/>
      <c r="L36" s="44"/>
      <c r="M36" s="44"/>
    </row>
    <row r="37" spans="1:13" x14ac:dyDescent="0.25">
      <c r="B37" t="s">
        <v>117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</row>
    <row r="38" spans="1:13" x14ac:dyDescent="0.25">
      <c r="A38" t="s">
        <v>157</v>
      </c>
      <c r="B38" s="32">
        <f>C32*B31*J35</f>
        <v>22909100</v>
      </c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</row>
    <row r="39" spans="1:13" x14ac:dyDescent="0.25">
      <c r="A39" t="str">
        <f>B21</f>
        <v>Net rec</v>
      </c>
      <c r="B39" s="53">
        <f>C21</f>
        <v>22900000</v>
      </c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</row>
    <row r="40" spans="1:13" x14ac:dyDescent="0.25">
      <c r="A40" s="13" t="s">
        <v>158</v>
      </c>
      <c r="B40" s="54">
        <f>B38-B39</f>
        <v>9100</v>
      </c>
      <c r="C40" s="50">
        <v>0.23699999999999999</v>
      </c>
      <c r="D40" s="55">
        <f>B40/C40</f>
        <v>38396.624472573843</v>
      </c>
      <c r="E40" s="44"/>
      <c r="F40" s="44"/>
      <c r="G40" s="44"/>
      <c r="H40" s="44"/>
      <c r="I40" s="44"/>
      <c r="J40" s="44"/>
      <c r="K40" s="44"/>
      <c r="L40" s="44"/>
      <c r="M40" s="44"/>
    </row>
    <row r="41" spans="1:13" x14ac:dyDescent="0.25">
      <c r="B41" t="s">
        <v>150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</row>
    <row r="42" spans="1:13" x14ac:dyDescent="0.25">
      <c r="A42" t="s">
        <v>159</v>
      </c>
      <c r="B42">
        <f>C32*B31</f>
        <v>96500000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</row>
    <row r="43" spans="1:13" x14ac:dyDescent="0.25">
      <c r="A43" t="s">
        <v>160</v>
      </c>
      <c r="B43" s="45">
        <f>-D40</f>
        <v>-38396.624472573843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</row>
    <row r="44" spans="1:13" x14ac:dyDescent="0.25">
      <c r="B44" s="56">
        <f>SUM(B42:B43)</f>
        <v>96461603.375527427</v>
      </c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</row>
    <row r="45" spans="1:13" x14ac:dyDescent="0.25">
      <c r="A45" s="3" t="s">
        <v>161</v>
      </c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</row>
    <row r="46" spans="1:13" x14ac:dyDescent="0.25">
      <c r="B46" t="s">
        <v>117</v>
      </c>
      <c r="C46" s="57" t="s">
        <v>162</v>
      </c>
      <c r="D46" s="57" t="s">
        <v>163</v>
      </c>
      <c r="E46" s="57"/>
      <c r="F46" s="44"/>
      <c r="G46" s="44"/>
      <c r="H46" s="44"/>
      <c r="I46" s="44"/>
      <c r="J46" s="44"/>
      <c r="K46" s="44"/>
      <c r="L46" s="44"/>
      <c r="M46" s="44"/>
    </row>
    <row r="47" spans="1:13" x14ac:dyDescent="0.25">
      <c r="A47" t="s">
        <v>164</v>
      </c>
      <c r="B47">
        <v>0.23680000000000001</v>
      </c>
      <c r="C47" s="58">
        <f>0.14/100</f>
        <v>1.4000000000000002E-3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</row>
    <row r="48" spans="1:13" x14ac:dyDescent="0.25">
      <c r="A48" t="s">
        <v>128</v>
      </c>
      <c r="B48">
        <v>500000</v>
      </c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</row>
    <row r="49" spans="1:5" x14ac:dyDescent="0.25">
      <c r="B49" t="s">
        <v>150</v>
      </c>
    </row>
    <row r="50" spans="1:5" x14ac:dyDescent="0.25">
      <c r="B50">
        <f>C21/B47</f>
        <v>96706081.081081077</v>
      </c>
      <c r="C50">
        <f>B50/B31</f>
        <v>193.41216216216216</v>
      </c>
      <c r="D50">
        <f>ROUND(C50,0)</f>
        <v>193</v>
      </c>
    </row>
    <row r="51" spans="1:5" x14ac:dyDescent="0.25">
      <c r="A51" t="s">
        <v>47</v>
      </c>
      <c r="B51" s="5">
        <f>C47*C32*B31</f>
        <v>135100.00000000003</v>
      </c>
    </row>
    <row r="52" spans="1:5" x14ac:dyDescent="0.25">
      <c r="B52" s="3">
        <f>SUM(B50:B51)</f>
        <v>96841181.081081077</v>
      </c>
    </row>
    <row r="54" spans="1:5" x14ac:dyDescent="0.25">
      <c r="A54" t="s">
        <v>148</v>
      </c>
      <c r="B54" s="44">
        <f>C21</f>
        <v>22900000</v>
      </c>
    </row>
    <row r="55" spans="1:5" x14ac:dyDescent="0.25">
      <c r="B55">
        <f>D50*B48*-B47</f>
        <v>-22851200</v>
      </c>
    </row>
    <row r="56" spans="1:5" x14ac:dyDescent="0.25">
      <c r="B56" s="44">
        <f>SUM(B54:B55)</f>
        <v>48800</v>
      </c>
      <c r="C56">
        <f>B56/0.2374</f>
        <v>205560.23588879529</v>
      </c>
    </row>
    <row r="58" spans="1:5" x14ac:dyDescent="0.25">
      <c r="C58" s="3" t="str">
        <f>A24</f>
        <v>Forward</v>
      </c>
      <c r="D58" t="str">
        <f>A29</f>
        <v>Futures</v>
      </c>
      <c r="E58" t="str">
        <f>A45</f>
        <v>Options</v>
      </c>
    </row>
    <row r="59" spans="1:5" x14ac:dyDescent="0.25">
      <c r="B59" t="s">
        <v>94</v>
      </c>
      <c r="C59" s="59">
        <f>C26</f>
        <v>96461668.070766643</v>
      </c>
      <c r="D59" s="32">
        <f>B30</f>
        <v>96461668.070766643</v>
      </c>
      <c r="E59" s="32">
        <f>B52</f>
        <v>96841181.081081077</v>
      </c>
    </row>
    <row r="60" spans="1:5" x14ac:dyDescent="0.25">
      <c r="C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Options</vt:lpstr>
      <vt:lpstr>Fwd,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Haseeb Khan Durrani</dc:creator>
  <cp:lastModifiedBy>Muhammad Haseeb Khan Durrani</cp:lastModifiedBy>
  <dcterms:created xsi:type="dcterms:W3CDTF">2023-11-24T10:45:01Z</dcterms:created>
  <dcterms:modified xsi:type="dcterms:W3CDTF">2023-12-10T18:58:50Z</dcterms:modified>
</cp:coreProperties>
</file>