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7" i="2" l="1"/>
  <c r="C56" i="2"/>
  <c r="C55" i="2"/>
  <c r="C52" i="2"/>
  <c r="B45" i="2"/>
  <c r="B36" i="2"/>
  <c r="E34" i="2"/>
  <c r="H57" i="2"/>
  <c r="H56" i="2"/>
  <c r="H55" i="2"/>
  <c r="C34" i="2"/>
  <c r="B40" i="2"/>
  <c r="C36" i="2"/>
  <c r="D36" i="2"/>
  <c r="F36" i="2" s="1"/>
  <c r="B37" i="2"/>
  <c r="L35" i="2"/>
  <c r="L34" i="2"/>
  <c r="C35" i="2"/>
  <c r="B35" i="2"/>
  <c r="D37" i="2"/>
  <c r="C37" i="2"/>
  <c r="H52" i="2"/>
  <c r="H54" i="2"/>
  <c r="H53" i="2"/>
  <c r="L48" i="2"/>
  <c r="J30" i="2"/>
  <c r="I34" i="2"/>
  <c r="H35" i="2"/>
  <c r="J29" i="2"/>
  <c r="J27" i="2"/>
  <c r="I27" i="2"/>
  <c r="J26" i="2"/>
  <c r="I26" i="2"/>
  <c r="E90" i="1"/>
  <c r="C62" i="1" s="1"/>
  <c r="C63" i="1" s="1"/>
  <c r="E63" i="1"/>
  <c r="E61" i="1"/>
  <c r="E62" i="1"/>
  <c r="D63" i="1"/>
  <c r="D61" i="1"/>
  <c r="D62" i="1"/>
  <c r="C61" i="1"/>
  <c r="D97" i="1"/>
  <c r="C60" i="1"/>
  <c r="C103" i="1"/>
  <c r="D94" i="1"/>
  <c r="E60" i="1" s="1"/>
  <c r="I88" i="1"/>
  <c r="E55" i="1" s="1"/>
  <c r="C90" i="1"/>
  <c r="C91" i="1" s="1"/>
  <c r="B90" i="1"/>
  <c r="C102" i="1" s="1"/>
  <c r="I86" i="1" s="1"/>
  <c r="B99" i="1"/>
  <c r="B98" i="1"/>
  <c r="C88" i="1"/>
  <c r="D55" i="1" s="1"/>
  <c r="B36" i="1"/>
  <c r="D22" i="1"/>
  <c r="H11" i="1"/>
  <c r="K9" i="1"/>
  <c r="J9" i="1"/>
  <c r="I9" i="1"/>
  <c r="B21" i="1"/>
  <c r="A21" i="1"/>
  <c r="F20" i="1"/>
  <c r="F19" i="1"/>
  <c r="B17" i="1"/>
  <c r="D17" i="1" s="1"/>
  <c r="B7" i="1" s="1"/>
  <c r="B16" i="1"/>
  <c r="I10" i="1" s="1"/>
  <c r="B42" i="2" l="1"/>
  <c r="B43" i="2"/>
  <c r="B44" i="2" s="1"/>
  <c r="I89" i="1"/>
  <c r="D90" i="1"/>
  <c r="D60" i="1"/>
  <c r="B91" i="1"/>
  <c r="F21" i="1"/>
  <c r="C16" i="1" s="1"/>
  <c r="C21" i="1" s="1"/>
  <c r="D21" i="1" s="1"/>
  <c r="D24" i="1" s="1"/>
  <c r="D15" i="1"/>
  <c r="C34" i="1" s="1"/>
  <c r="E35" i="1" s="1"/>
  <c r="K11" i="1"/>
  <c r="I11" i="1"/>
  <c r="B34" i="1"/>
  <c r="C15" i="1"/>
  <c r="J10" i="1"/>
  <c r="K10" i="1" s="1"/>
  <c r="D34" i="1"/>
  <c r="C76" i="1" l="1"/>
  <c r="K12" i="1"/>
  <c r="B8" i="1" s="1"/>
  <c r="B37" i="1" s="1"/>
  <c r="C37" i="1"/>
  <c r="E34" i="1"/>
  <c r="D37" i="1" l="1"/>
  <c r="D39" i="1"/>
  <c r="E37" i="1"/>
  <c r="F35" i="1"/>
</calcChain>
</file>

<file path=xl/sharedStrings.xml><?xml version="1.0" encoding="utf-8"?>
<sst xmlns="http://schemas.openxmlformats.org/spreadsheetml/2006/main" count="185" uniqueCount="152">
  <si>
    <t>(a) (i) Estimate the equity value of the combined company and the expected </t>
  </si>
  <si>
    <t>additional value arising from the combination of Selorne Co and Chawon Co. </t>
  </si>
  <si>
    <t> (6 marks) </t>
  </si>
  <si>
    <t>50 SELORNE CO (SEP 18) </t>
  </si>
  <si>
    <t>E of combined Co=</t>
  </si>
  <si>
    <t>Additonal Value=</t>
  </si>
  <si>
    <t>S</t>
  </si>
  <si>
    <t>C</t>
  </si>
  <si>
    <t>Acq</t>
  </si>
  <si>
    <t>T</t>
  </si>
  <si>
    <t>S+C</t>
  </si>
  <si>
    <t>Share-for-share</t>
  </si>
  <si>
    <t>E</t>
  </si>
  <si>
    <t>Shares n.o</t>
  </si>
  <si>
    <t>000</t>
  </si>
  <si>
    <t>SP</t>
  </si>
  <si>
    <t>CFE</t>
  </si>
  <si>
    <t>=8*A17</t>
  </si>
  <si>
    <t>Ke</t>
  </si>
  <si>
    <t>g</t>
  </si>
  <si>
    <t>C Equity wokring</t>
  </si>
  <si>
    <t>Consid paid</t>
  </si>
  <si>
    <t>Synergy</t>
  </si>
  <si>
    <t>MV of E</t>
  </si>
  <si>
    <t>ii) Estimate the share of the gain from the combination created for Chris </t>
  </si>
  <si>
    <t>Chawon and the share of the gain created for Selorne Co’s shareholders and </t>
  </si>
  <si>
    <t>comment on your results. (6 marks) </t>
  </si>
  <si>
    <t>(b)</t>
  </si>
  <si>
    <t> share of the gain from the combination created for Chris =</t>
  </si>
  <si>
    <t> share of the gain from the combination created for Selerone =</t>
  </si>
  <si>
    <t>Comment</t>
  </si>
  <si>
    <t>C shareholder</t>
  </si>
  <si>
    <t>Before Acq</t>
  </si>
  <si>
    <t>After Acq</t>
  </si>
  <si>
    <t>MV of C shareholder</t>
  </si>
  <si>
    <t>MV of S shareholder</t>
  </si>
  <si>
    <t>Gain for shareholder</t>
  </si>
  <si>
    <t>Gain for S shareholder</t>
  </si>
  <si>
    <t>Gain for the T co for share-for-share exchange offer will be from the Equity value of the COMBINED CO</t>
  </si>
  <si>
    <t>Synergy was added befor using the multiple of CFE</t>
  </si>
  <si>
    <t>Gain to T Co</t>
  </si>
  <si>
    <t>After acq MV of the Co share of Combined company</t>
  </si>
  <si>
    <t>Gain to Acq Co</t>
  </si>
  <si>
    <t>Additional value-gain rec by the T co</t>
  </si>
  <si>
    <t>Gain to T co</t>
  </si>
  <si>
    <t>Gain due to merger of T/MV before merger of T</t>
  </si>
  <si>
    <t>Gain due to merger of T+A/Total gain of T+A(i.e additional value</t>
  </si>
  <si>
    <t>Funding required for the acquisition of Tidded C</t>
  </si>
  <si>
    <t xml:space="preserve">Comment </t>
  </si>
  <si>
    <t>Calculate</t>
  </si>
  <si>
    <t>EPS</t>
  </si>
  <si>
    <t>Option 1</t>
  </si>
  <si>
    <t>Option 2</t>
  </si>
  <si>
    <t>Option 3</t>
  </si>
  <si>
    <t>Gearing</t>
  </si>
  <si>
    <t>(b) Calculate, and comment on, the funding required for the acquisition of Tidded Co </t>
  </si>
  <si>
    <t>and the impact on Louieed Co’s earnings per share and gearing, for each of the </t>
  </si>
  <si>
    <t>three options given above. </t>
  </si>
  <si>
    <t>Note: Up to 10 marks are available for the calculations. (14 marks) </t>
  </si>
  <si>
    <t>49 LOUIEED CO (MAR/JUN 16) </t>
  </si>
  <si>
    <t>Louis</t>
  </si>
  <si>
    <t>Tiddet</t>
  </si>
  <si>
    <t>Bid shares</t>
  </si>
  <si>
    <t>rejected</t>
  </si>
  <si>
    <t>Revised Bid shares</t>
  </si>
  <si>
    <t>OR</t>
  </si>
  <si>
    <t>Cash</t>
  </si>
  <si>
    <t>N.o of shares</t>
  </si>
  <si>
    <t>i</t>
  </si>
  <si>
    <t>ii</t>
  </si>
  <si>
    <t>iii</t>
  </si>
  <si>
    <t>Founders</t>
  </si>
  <si>
    <t>%Board</t>
  </si>
  <si>
    <t>After taax synergy</t>
  </si>
  <si>
    <t>L+T</t>
  </si>
  <si>
    <t>P/E</t>
  </si>
  <si>
    <t>Kd(1-t)</t>
  </si>
  <si>
    <t>Tax</t>
  </si>
  <si>
    <t>Retun on cahs surplius</t>
  </si>
  <si>
    <t>Earnings after tax</t>
  </si>
  <si>
    <t>Shares value offered to T</t>
  </si>
  <si>
    <t>No finaincne requrired</t>
  </si>
  <si>
    <t>Cash available</t>
  </si>
  <si>
    <t>N.o of Shares offered</t>
  </si>
  <si>
    <t>D</t>
  </si>
  <si>
    <t>remember the return on Debt and cash surplus to add as expense to PAT(EPS)</t>
  </si>
  <si>
    <t>48 VOGEL CO (JUN 14) </t>
  </si>
  <si>
    <t>(a) Discuss the possible actions Vogel Co could take to reduce the risk that the </t>
  </si>
  <si>
    <t>acquisition of Tori Co fails to increase shareholder value. (6 marks) </t>
  </si>
  <si>
    <t>(b) Estimate, showing all relevant calculations, the maximum premium Vogel Co could </t>
  </si>
  <si>
    <t>pay to acquire Tori Co, explaining the approach taken and any assumptions made.</t>
  </si>
  <si>
    <t> (14 marks) </t>
  </si>
  <si>
    <t>Maximum premium Vogel Co could pay to acquire Tori Co=</t>
  </si>
  <si>
    <t>Explanation</t>
  </si>
  <si>
    <t>Approach</t>
  </si>
  <si>
    <t>Assumptions</t>
  </si>
  <si>
    <t>Tori</t>
  </si>
  <si>
    <t>Depts</t>
  </si>
  <si>
    <t>A</t>
  </si>
  <si>
    <t>B</t>
  </si>
  <si>
    <t>Acquired</t>
  </si>
  <si>
    <t>Sold</t>
  </si>
  <si>
    <t>Ndege Co. </t>
  </si>
  <si>
    <t>i)</t>
  </si>
  <si>
    <t>NCA</t>
  </si>
  <si>
    <t>BV</t>
  </si>
  <si>
    <t>NRV</t>
  </si>
  <si>
    <t>CA</t>
  </si>
  <si>
    <t>NCA CA</t>
  </si>
  <si>
    <t>PBDIT PBT</t>
  </si>
  <si>
    <t>Costs</t>
  </si>
  <si>
    <t>ii)</t>
  </si>
  <si>
    <t>Dis proceed</t>
  </si>
  <si>
    <t>Liab</t>
  </si>
  <si>
    <t>Neet Liab</t>
  </si>
  <si>
    <t>iii)</t>
  </si>
  <si>
    <t>Remaining</t>
  </si>
  <si>
    <t>Bond</t>
  </si>
  <si>
    <t>to Nedge Co</t>
  </si>
  <si>
    <t>(iv) At present, around 10% of Department B’s PBDIT come from sales made to </t>
  </si>
  <si>
    <t>Department C. </t>
  </si>
  <si>
    <t>v)</t>
  </si>
  <si>
    <t>Wacc</t>
  </si>
  <si>
    <t>Nedge</t>
  </si>
  <si>
    <t>g FCF 1st year</t>
  </si>
  <si>
    <t>g subs years</t>
  </si>
  <si>
    <t>Tori PDBIT</t>
  </si>
  <si>
    <t>Nedge PBDIT</t>
  </si>
  <si>
    <t>2nd yr profit</t>
  </si>
  <si>
    <t>MV of Nedge Co</t>
  </si>
  <si>
    <t>PAT</t>
  </si>
  <si>
    <t>CF</t>
  </si>
  <si>
    <t xml:space="preserve">Vogel </t>
  </si>
  <si>
    <t>V+T</t>
  </si>
  <si>
    <t>PE (W1)</t>
  </si>
  <si>
    <t>W1</t>
  </si>
  <si>
    <t>Vogel</t>
  </si>
  <si>
    <t>Share n.o</t>
  </si>
  <si>
    <t>PAT+ synergy</t>
  </si>
  <si>
    <t>E of V before Acq</t>
  </si>
  <si>
    <t>After acq</t>
  </si>
  <si>
    <t>Nedge Co</t>
  </si>
  <si>
    <t>Max Premium</t>
  </si>
  <si>
    <t xml:space="preserve">Rememer to discount a figure using the discount rate only </t>
  </si>
  <si>
    <t>less debt</t>
  </si>
  <si>
    <t>Max premium payabe</t>
  </si>
  <si>
    <t>Old MV</t>
  </si>
  <si>
    <t>V</t>
  </si>
  <si>
    <t>Total New MV of Combined entitiy</t>
  </si>
  <si>
    <t>Overall gain</t>
  </si>
  <si>
    <t>MV of T</t>
  </si>
  <si>
    <t>Max premium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</si>
</sst>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/>
    <xf numFmtId="0" fontId="0" fillId="0" borderId="0" xfId="0" quotePrefix="1"/>
    <xf numFmtId="9" fontId="0" fillId="0" borderId="0" xfId="0" applyNumberFormat="1"/>
    <xf numFmtId="0" fontId="4" fillId="0" borderId="0" xfId="0" applyFont="1"/>
    <xf numFmtId="0" fontId="0" fillId="0" borderId="0" xfId="0" applyFill="1"/>
    <xf numFmtId="0" fontId="2" fillId="2" borderId="0" xfId="0" applyFont="1" applyFill="1"/>
    <xf numFmtId="0" fontId="0" fillId="2" borderId="0" xfId="0" applyFill="1"/>
    <xf numFmtId="9" fontId="0" fillId="0" borderId="0" xfId="1" applyFont="1"/>
    <xf numFmtId="0" fontId="5" fillId="2" borderId="1" xfId="0" applyFont="1" applyFill="1" applyBorder="1"/>
    <xf numFmtId="0" fontId="5" fillId="2" borderId="2" xfId="0" applyFont="1" applyFill="1" applyBorder="1"/>
    <xf numFmtId="10" fontId="0" fillId="0" borderId="0" xfId="0" applyNumberFormat="1"/>
    <xf numFmtId="164" fontId="0" fillId="0" borderId="0" xfId="0" applyNumberFormat="1"/>
    <xf numFmtId="0" fontId="6" fillId="0" borderId="0" xfId="0" applyFont="1"/>
    <xf numFmtId="0" fontId="7" fillId="2" borderId="1" xfId="0" applyFont="1" applyFill="1" applyBorder="1"/>
    <xf numFmtId="0" fontId="7" fillId="2" borderId="3" xfId="0" applyFont="1" applyFill="1" applyBorder="1"/>
    <xf numFmtId="0" fontId="7" fillId="2" borderId="2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104775</xdr:rowOff>
    </xdr:from>
    <xdr:to>
      <xdr:col>7</xdr:col>
      <xdr:colOff>161925</xdr:colOff>
      <xdr:row>33</xdr:row>
      <xdr:rowOff>28575</xdr:rowOff>
    </xdr:to>
    <xdr:cxnSp macro="">
      <xdr:nvCxnSpPr>
        <xdr:cNvPr id="3" name="Straight Arrow Connector 2"/>
        <xdr:cNvCxnSpPr/>
      </xdr:nvCxnSpPr>
      <xdr:spPr>
        <a:xfrm flipH="1">
          <a:off x="2619375" y="5819775"/>
          <a:ext cx="3390900" cy="4953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abSelected="1" topLeftCell="A45" workbookViewId="0">
      <selection activeCell="A57" sqref="A57"/>
    </sheetView>
  </sheetViews>
  <sheetFormatPr defaultRowHeight="15" x14ac:dyDescent="0.25"/>
  <cols>
    <col min="1" max="1" width="20.5703125" bestFit="1" customWidth="1"/>
    <col min="7" max="7" width="15.42578125" bestFit="1" customWidth="1"/>
    <col min="8" max="8" width="12.85546875" bestFit="1" customWidth="1"/>
    <col min="9" max="9" width="12.140625" customWidth="1"/>
    <col min="11" max="11" width="10" bestFit="1" customWidth="1"/>
  </cols>
  <sheetData>
    <row r="1" spans="1:1" x14ac:dyDescent="0.25">
      <c r="A1" t="s">
        <v>86</v>
      </c>
    </row>
    <row r="3" spans="1:1" x14ac:dyDescent="0.25">
      <c r="A3" t="s">
        <v>87</v>
      </c>
    </row>
    <row r="4" spans="1:1" x14ac:dyDescent="0.25">
      <c r="A4" t="s">
        <v>88</v>
      </c>
    </row>
    <row r="6" spans="1:1" x14ac:dyDescent="0.25">
      <c r="A6" t="s">
        <v>89</v>
      </c>
    </row>
    <row r="7" spans="1:1" x14ac:dyDescent="0.25">
      <c r="A7" t="s">
        <v>90</v>
      </c>
    </row>
    <row r="8" spans="1:1" x14ac:dyDescent="0.25">
      <c r="A8" t="s">
        <v>91</v>
      </c>
    </row>
    <row r="10" spans="1:1" x14ac:dyDescent="0.25">
      <c r="A10" t="s">
        <v>92</v>
      </c>
    </row>
    <row r="11" spans="1:1" x14ac:dyDescent="0.25">
      <c r="A11" s="3" t="s">
        <v>93</v>
      </c>
    </row>
    <row r="13" spans="1:1" x14ac:dyDescent="0.25">
      <c r="A13" s="1" t="s">
        <v>94</v>
      </c>
    </row>
    <row r="16" spans="1:1" x14ac:dyDescent="0.25">
      <c r="A16" s="1" t="s">
        <v>95</v>
      </c>
    </row>
    <row r="19" spans="1:10" x14ac:dyDescent="0.25">
      <c r="H19" t="s">
        <v>104</v>
      </c>
      <c r="I19">
        <v>98.2</v>
      </c>
    </row>
    <row r="20" spans="1:10" x14ac:dyDescent="0.25">
      <c r="H20" t="s">
        <v>107</v>
      </c>
      <c r="I20">
        <v>46.5</v>
      </c>
    </row>
    <row r="24" spans="1:10" x14ac:dyDescent="0.25">
      <c r="A24" t="s">
        <v>96</v>
      </c>
      <c r="B24" t="s">
        <v>97</v>
      </c>
      <c r="D24" t="s">
        <v>108</v>
      </c>
      <c r="E24" t="s">
        <v>109</v>
      </c>
    </row>
    <row r="25" spans="1:10" x14ac:dyDescent="0.25">
      <c r="B25" t="s">
        <v>98</v>
      </c>
      <c r="C25" t="s">
        <v>100</v>
      </c>
      <c r="D25">
        <v>0.4</v>
      </c>
      <c r="E25">
        <v>0.5</v>
      </c>
      <c r="H25" t="s">
        <v>103</v>
      </c>
      <c r="I25" t="s">
        <v>105</v>
      </c>
      <c r="J25" t="s">
        <v>106</v>
      </c>
    </row>
    <row r="26" spans="1:10" x14ac:dyDescent="0.25">
      <c r="B26" t="s">
        <v>99</v>
      </c>
      <c r="C26" t="s">
        <v>101</v>
      </c>
      <c r="D26">
        <v>0.4</v>
      </c>
      <c r="E26">
        <v>0.4</v>
      </c>
      <c r="H26" t="s">
        <v>104</v>
      </c>
      <c r="I26">
        <f>I19*D27</f>
        <v>19.64</v>
      </c>
      <c r="J26">
        <f>I26</f>
        <v>19.64</v>
      </c>
    </row>
    <row r="27" spans="1:10" x14ac:dyDescent="0.25">
      <c r="B27" t="s">
        <v>7</v>
      </c>
      <c r="C27" t="s">
        <v>102</v>
      </c>
      <c r="D27">
        <v>0.2</v>
      </c>
      <c r="E27">
        <v>0.1</v>
      </c>
      <c r="H27" t="s">
        <v>107</v>
      </c>
      <c r="I27">
        <f>I20*D27</f>
        <v>9.3000000000000007</v>
      </c>
      <c r="J27">
        <f>I27*0.9</f>
        <v>8.370000000000001</v>
      </c>
    </row>
    <row r="28" spans="1:10" x14ac:dyDescent="0.25">
      <c r="H28" t="s">
        <v>110</v>
      </c>
      <c r="J28" s="6">
        <v>-3</v>
      </c>
    </row>
    <row r="29" spans="1:10" x14ac:dyDescent="0.25">
      <c r="H29" t="s">
        <v>112</v>
      </c>
      <c r="J29">
        <f>SUM(J26:J28)</f>
        <v>25.01</v>
      </c>
    </row>
    <row r="30" spans="1:10" x14ac:dyDescent="0.25">
      <c r="H30" t="s">
        <v>116</v>
      </c>
      <c r="J30">
        <f>J29-I35</f>
        <v>4.8100000000000023</v>
      </c>
    </row>
    <row r="33" spans="1:13" x14ac:dyDescent="0.25">
      <c r="B33" t="s">
        <v>132</v>
      </c>
      <c r="C33" t="s">
        <v>96</v>
      </c>
      <c r="D33" t="s">
        <v>133</v>
      </c>
      <c r="H33" t="s">
        <v>111</v>
      </c>
      <c r="K33" s="15" t="s">
        <v>136</v>
      </c>
      <c r="L33" s="3" t="s">
        <v>135</v>
      </c>
    </row>
    <row r="34" spans="1:13" x14ac:dyDescent="0.25">
      <c r="A34" t="s">
        <v>15</v>
      </c>
      <c r="B34">
        <v>3</v>
      </c>
      <c r="C34">
        <f>C36/C35*C37</f>
        <v>5.1793615676359037</v>
      </c>
      <c r="E34">
        <f>C34*C35</f>
        <v>207.17446270543616</v>
      </c>
      <c r="H34" t="s">
        <v>113</v>
      </c>
      <c r="I34">
        <f>-20.2</f>
        <v>-20.2</v>
      </c>
      <c r="K34" t="s">
        <v>12</v>
      </c>
      <c r="L34">
        <f>B34*B35</f>
        <v>1140</v>
      </c>
    </row>
    <row r="35" spans="1:13" x14ac:dyDescent="0.25">
      <c r="A35" t="s">
        <v>137</v>
      </c>
      <c r="B35">
        <f>190/0.5</f>
        <v>380</v>
      </c>
      <c r="C35">
        <f>20/0.5</f>
        <v>40</v>
      </c>
      <c r="H35" t="str">
        <f>H29</f>
        <v>Dis proceed</v>
      </c>
      <c r="I35" s="6">
        <v>20.2</v>
      </c>
      <c r="K35" t="s">
        <v>130</v>
      </c>
      <c r="L35">
        <f>158.2*0.8</f>
        <v>126.56</v>
      </c>
    </row>
    <row r="36" spans="1:13" x14ac:dyDescent="0.25">
      <c r="A36" t="s">
        <v>138</v>
      </c>
      <c r="B36">
        <f>L35+0.5</f>
        <v>127.06</v>
      </c>
      <c r="C36">
        <f>23*0.8</f>
        <v>18.400000000000002</v>
      </c>
      <c r="D36">
        <f>SUM(B36:C36)+7</f>
        <v>152.46</v>
      </c>
      <c r="F36">
        <f>D36-1140-207</f>
        <v>-1194.54</v>
      </c>
      <c r="H36" t="s">
        <v>114</v>
      </c>
      <c r="I36">
        <v>0</v>
      </c>
    </row>
    <row r="37" spans="1:13" x14ac:dyDescent="0.25">
      <c r="A37" t="s">
        <v>134</v>
      </c>
      <c r="B37">
        <f>L34/L35</f>
        <v>9.0075853350189625</v>
      </c>
      <c r="C37">
        <f>B37*1.25</f>
        <v>11.259481668773702</v>
      </c>
      <c r="D37">
        <f>B37*1.15</f>
        <v>10.358723135271806</v>
      </c>
    </row>
    <row r="40" spans="1:13" x14ac:dyDescent="0.25">
      <c r="A40" t="s">
        <v>139</v>
      </c>
      <c r="B40">
        <f>L34</f>
        <v>1140</v>
      </c>
      <c r="H40" t="s">
        <v>115</v>
      </c>
    </row>
    <row r="41" spans="1:13" x14ac:dyDescent="0.25">
      <c r="B41">
        <v>207</v>
      </c>
      <c r="H41" t="s">
        <v>117</v>
      </c>
      <c r="I41">
        <v>-40</v>
      </c>
    </row>
    <row r="42" spans="1:13" x14ac:dyDescent="0.25">
      <c r="A42" t="s">
        <v>140</v>
      </c>
      <c r="B42">
        <f>D36*D37</f>
        <v>1579.2909292035395</v>
      </c>
      <c r="H42" t="s">
        <v>118</v>
      </c>
    </row>
    <row r="43" spans="1:13" x14ac:dyDescent="0.25">
      <c r="A43" t="s">
        <v>141</v>
      </c>
      <c r="B43" s="6">
        <f>H55-I41</f>
        <v>222.1872727272727</v>
      </c>
    </row>
    <row r="44" spans="1:13" x14ac:dyDescent="0.25">
      <c r="B44">
        <f>SUM(B42:B43)</f>
        <v>1801.4782019308122</v>
      </c>
      <c r="H44" t="s">
        <v>119</v>
      </c>
    </row>
    <row r="45" spans="1:13" x14ac:dyDescent="0.25">
      <c r="A45" t="s">
        <v>142</v>
      </c>
      <c r="B45" s="3">
        <f>B44-B40-B41</f>
        <v>454.47820193081225</v>
      </c>
      <c r="H45" t="s">
        <v>120</v>
      </c>
    </row>
    <row r="46" spans="1:13" x14ac:dyDescent="0.25">
      <c r="M46" t="s">
        <v>131</v>
      </c>
    </row>
    <row r="47" spans="1:13" x14ac:dyDescent="0.25">
      <c r="H47" t="s">
        <v>121</v>
      </c>
      <c r="I47" t="s">
        <v>123</v>
      </c>
      <c r="K47" t="s">
        <v>126</v>
      </c>
      <c r="L47">
        <v>37.4</v>
      </c>
    </row>
    <row r="48" spans="1:13" x14ac:dyDescent="0.25">
      <c r="A48" t="s">
        <v>145</v>
      </c>
      <c r="H48" t="s">
        <v>122</v>
      </c>
      <c r="I48" s="5">
        <v>0.1</v>
      </c>
      <c r="K48" t="s">
        <v>127</v>
      </c>
      <c r="L48">
        <f>L47*0.1</f>
        <v>3.74</v>
      </c>
      <c r="M48">
        <v>7.62</v>
      </c>
    </row>
    <row r="49" spans="1:15" x14ac:dyDescent="0.25">
      <c r="A49" s="3" t="s">
        <v>146</v>
      </c>
      <c r="H49" t="s">
        <v>124</v>
      </c>
      <c r="I49" s="5">
        <v>0.2</v>
      </c>
    </row>
    <row r="50" spans="1:15" x14ac:dyDescent="0.25">
      <c r="A50" t="s">
        <v>147</v>
      </c>
      <c r="C50">
        <v>100</v>
      </c>
      <c r="H50" t="s">
        <v>125</v>
      </c>
      <c r="I50" s="13">
        <v>5.1999999999999998E-2</v>
      </c>
    </row>
    <row r="51" spans="1:15" x14ac:dyDescent="0.25">
      <c r="A51" t="s">
        <v>9</v>
      </c>
      <c r="C51" s="6">
        <v>80</v>
      </c>
    </row>
    <row r="52" spans="1:15" ht="15.75" thickBot="1" x14ac:dyDescent="0.3">
      <c r="C52">
        <f>SUM(C50:C51)</f>
        <v>180</v>
      </c>
      <c r="H52">
        <f>M48*(1+I49)</f>
        <v>9.1440000000000001</v>
      </c>
    </row>
    <row r="53" spans="1:15" ht="15.75" thickBot="1" x14ac:dyDescent="0.3">
      <c r="G53" t="s">
        <v>128</v>
      </c>
      <c r="H53">
        <f>H52*(1+I50)</f>
        <v>9.6194880000000005</v>
      </c>
      <c r="J53" s="16" t="s">
        <v>143</v>
      </c>
      <c r="K53" s="17"/>
      <c r="L53" s="17"/>
      <c r="M53" s="17"/>
      <c r="N53" s="17"/>
      <c r="O53" s="18"/>
    </row>
    <row r="54" spans="1:15" x14ac:dyDescent="0.25">
      <c r="A54" t="s">
        <v>148</v>
      </c>
      <c r="C54" s="6">
        <v>300</v>
      </c>
      <c r="H54" s="14">
        <f>I48-I50</f>
        <v>4.8000000000000008E-2</v>
      </c>
    </row>
    <row r="55" spans="1:15" x14ac:dyDescent="0.25">
      <c r="A55" t="s">
        <v>149</v>
      </c>
      <c r="C55">
        <f>C54-C52</f>
        <v>120</v>
      </c>
      <c r="G55" t="s">
        <v>129</v>
      </c>
      <c r="H55">
        <f>(H53/H54)/1.1</f>
        <v>182.1872727272727</v>
      </c>
    </row>
    <row r="56" spans="1:15" x14ac:dyDescent="0.25">
      <c r="A56" t="s">
        <v>150</v>
      </c>
      <c r="C56" s="6">
        <f>C51</f>
        <v>80</v>
      </c>
      <c r="G56" t="s">
        <v>144</v>
      </c>
      <c r="H56">
        <f>I41</f>
        <v>-40</v>
      </c>
    </row>
    <row r="57" spans="1:15" x14ac:dyDescent="0.25">
      <c r="A57" s="1" t="s">
        <v>151</v>
      </c>
      <c r="C57">
        <f>SUM(C55:C56)</f>
        <v>200</v>
      </c>
      <c r="H57">
        <f>SUM(H55:H56)</f>
        <v>142.1872727272727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opLeftCell="A51" workbookViewId="0">
      <selection activeCell="A53" sqref="A53"/>
    </sheetView>
  </sheetViews>
  <sheetFormatPr defaultRowHeight="15" x14ac:dyDescent="0.25"/>
  <cols>
    <col min="1" max="1" width="19.28515625" bestFit="1" customWidth="1"/>
    <col min="2" max="2" width="44.42578125" bestFit="1" customWidth="1"/>
    <col min="3" max="3" width="9.28515625" customWidth="1"/>
    <col min="4" max="4" width="21" bestFit="1" customWidth="1"/>
    <col min="6" max="6" width="14" bestFit="1" customWidth="1"/>
    <col min="7" max="7" width="47.7109375" bestFit="1" customWidth="1"/>
    <col min="8" max="8" width="16.42578125" bestFit="1" customWidth="1"/>
  </cols>
  <sheetData>
    <row r="1" spans="1:11" x14ac:dyDescent="0.25">
      <c r="A1" t="s">
        <v>3</v>
      </c>
    </row>
    <row r="3" spans="1:11" x14ac:dyDescent="0.25">
      <c r="A3" s="1" t="s">
        <v>0</v>
      </c>
    </row>
    <row r="4" spans="1:11" x14ac:dyDescent="0.25">
      <c r="A4" s="1" t="s">
        <v>1</v>
      </c>
    </row>
    <row r="5" spans="1:11" x14ac:dyDescent="0.25">
      <c r="A5" s="1" t="s">
        <v>2</v>
      </c>
    </row>
    <row r="7" spans="1:11" x14ac:dyDescent="0.25">
      <c r="A7" s="1" t="s">
        <v>4</v>
      </c>
      <c r="B7">
        <f>D17*8</f>
        <v>421000</v>
      </c>
    </row>
    <row r="8" spans="1:11" x14ac:dyDescent="0.25">
      <c r="A8" s="8" t="s">
        <v>5</v>
      </c>
      <c r="B8" s="9">
        <f>K12</f>
        <v>-35916.666666666686</v>
      </c>
    </row>
    <row r="9" spans="1:11" x14ac:dyDescent="0.25">
      <c r="H9" s="8" t="s">
        <v>5</v>
      </c>
      <c r="I9" t="str">
        <f>B12</f>
        <v>S</v>
      </c>
      <c r="J9" t="str">
        <f>C12</f>
        <v>C</v>
      </c>
      <c r="K9" t="str">
        <f>D12</f>
        <v>S+C</v>
      </c>
    </row>
    <row r="10" spans="1:11" x14ac:dyDescent="0.25">
      <c r="B10" s="4" t="s">
        <v>14</v>
      </c>
      <c r="C10" s="4" t="s">
        <v>14</v>
      </c>
      <c r="D10" s="4" t="s">
        <v>14</v>
      </c>
      <c r="H10" t="s">
        <v>23</v>
      </c>
      <c r="I10">
        <f>B16</f>
        <v>325000</v>
      </c>
      <c r="J10">
        <f>C16</f>
        <v>60083.333333333336</v>
      </c>
      <c r="K10">
        <f>SUM(I10:J10)</f>
        <v>385083.33333333331</v>
      </c>
    </row>
    <row r="11" spans="1:11" x14ac:dyDescent="0.25">
      <c r="B11" t="s">
        <v>8</v>
      </c>
      <c r="C11" t="s">
        <v>9</v>
      </c>
      <c r="H11" t="str">
        <f>A7</f>
        <v>E of combined Co=</v>
      </c>
      <c r="I11">
        <f>B7</f>
        <v>421000</v>
      </c>
      <c r="K11" s="6">
        <f>-B7</f>
        <v>-421000</v>
      </c>
    </row>
    <row r="12" spans="1:11" x14ac:dyDescent="0.25">
      <c r="A12" s="2"/>
      <c r="B12" s="3" t="s">
        <v>6</v>
      </c>
      <c r="C12" s="3" t="s">
        <v>7</v>
      </c>
      <c r="D12" s="3" t="s">
        <v>10</v>
      </c>
      <c r="K12">
        <f>SUM(K10:K11)</f>
        <v>-35916.666666666686</v>
      </c>
    </row>
    <row r="13" spans="1:11" x14ac:dyDescent="0.25">
      <c r="A13" t="s">
        <v>11</v>
      </c>
      <c r="B13">
        <v>5</v>
      </c>
      <c r="C13">
        <v>1</v>
      </c>
    </row>
    <row r="14" spans="1:11" x14ac:dyDescent="0.25">
      <c r="A14" t="s">
        <v>13</v>
      </c>
      <c r="B14">
        <v>50000</v>
      </c>
      <c r="C14">
        <v>2000</v>
      </c>
    </row>
    <row r="15" spans="1:11" x14ac:dyDescent="0.25">
      <c r="A15" s="7" t="s">
        <v>15</v>
      </c>
      <c r="B15" s="7">
        <v>6.5</v>
      </c>
      <c r="C15" s="7">
        <f>C16/C14</f>
        <v>30.041666666666668</v>
      </c>
      <c r="D15">
        <f>B7/(B14+10000)</f>
        <v>7.0166666666666666</v>
      </c>
    </row>
    <row r="16" spans="1:11" x14ac:dyDescent="0.25">
      <c r="A16" s="7" t="s">
        <v>12</v>
      </c>
      <c r="B16" s="7">
        <f>B14*B15</f>
        <v>325000</v>
      </c>
      <c r="C16" s="7">
        <f>F21</f>
        <v>60083.333333333336</v>
      </c>
      <c r="D16" s="4" t="s">
        <v>17</v>
      </c>
    </row>
    <row r="17" spans="1:17" x14ac:dyDescent="0.25">
      <c r="A17" s="7" t="s">
        <v>16</v>
      </c>
      <c r="B17" s="7">
        <f>B16/8</f>
        <v>40625</v>
      </c>
      <c r="C17" s="7">
        <v>7000</v>
      </c>
      <c r="D17">
        <f>5000+C17+B17</f>
        <v>52625</v>
      </c>
    </row>
    <row r="18" spans="1:17" x14ac:dyDescent="0.25">
      <c r="A18" t="s">
        <v>19</v>
      </c>
      <c r="C18" s="5">
        <v>0.03</v>
      </c>
      <c r="F18" s="3" t="s">
        <v>20</v>
      </c>
    </row>
    <row r="19" spans="1:17" x14ac:dyDescent="0.25">
      <c r="A19" t="s">
        <v>18</v>
      </c>
      <c r="C19" s="5">
        <v>0.15</v>
      </c>
      <c r="F19">
        <f>C17*(1+C18)</f>
        <v>7210</v>
      </c>
    </row>
    <row r="20" spans="1:17" x14ac:dyDescent="0.25">
      <c r="F20" s="5">
        <f>C19-C18</f>
        <v>0.12</v>
      </c>
    </row>
    <row r="21" spans="1:17" x14ac:dyDescent="0.25">
      <c r="A21" t="str">
        <f>A16</f>
        <v>E</v>
      </c>
      <c r="B21">
        <f t="shared" ref="B21:C21" si="0">B16</f>
        <v>325000</v>
      </c>
      <c r="C21">
        <f t="shared" si="0"/>
        <v>60083.333333333336</v>
      </c>
      <c r="D21">
        <f>SUM(B21:C21)</f>
        <v>385083.33333333331</v>
      </c>
      <c r="F21">
        <f>F19/F20</f>
        <v>60083.333333333336</v>
      </c>
      <c r="H21" s="9" t="s">
        <v>39</v>
      </c>
      <c r="I21" s="9"/>
      <c r="J21" s="9"/>
      <c r="K21" s="9"/>
      <c r="L21" s="9"/>
    </row>
    <row r="22" spans="1:17" x14ac:dyDescent="0.25">
      <c r="A22" t="s">
        <v>21</v>
      </c>
      <c r="D22">
        <f>-C14*B13*B15</f>
        <v>-65000</v>
      </c>
    </row>
    <row r="23" spans="1:17" x14ac:dyDescent="0.25">
      <c r="A23" t="s">
        <v>22</v>
      </c>
      <c r="D23" s="6">
        <v>5000</v>
      </c>
    </row>
    <row r="24" spans="1:17" x14ac:dyDescent="0.25">
      <c r="D24">
        <f>SUM(D21:D23)</f>
        <v>325083.33333333331</v>
      </c>
    </row>
    <row r="25" spans="1:17" x14ac:dyDescent="0.25">
      <c r="A25" s="1" t="s">
        <v>24</v>
      </c>
    </row>
    <row r="26" spans="1:17" x14ac:dyDescent="0.25">
      <c r="A26" s="1" t="s">
        <v>25</v>
      </c>
    </row>
    <row r="27" spans="1:17" x14ac:dyDescent="0.25">
      <c r="A27" s="1" t="s">
        <v>26</v>
      </c>
    </row>
    <row r="28" spans="1:17" x14ac:dyDescent="0.25">
      <c r="A28" s="1" t="s">
        <v>27</v>
      </c>
    </row>
    <row r="30" spans="1:17" x14ac:dyDescent="0.25">
      <c r="A30" t="s">
        <v>28</v>
      </c>
    </row>
    <row r="31" spans="1:17" x14ac:dyDescent="0.25">
      <c r="A31" t="s">
        <v>29</v>
      </c>
      <c r="H31" s="9" t="s">
        <v>38</v>
      </c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5">
      <c r="A32" s="3"/>
      <c r="B32" t="s">
        <v>31</v>
      </c>
      <c r="C32" t="s">
        <v>31</v>
      </c>
    </row>
    <row r="33" spans="1:7" x14ac:dyDescent="0.25">
      <c r="B33" t="s">
        <v>32</v>
      </c>
      <c r="C33" t="s">
        <v>33</v>
      </c>
      <c r="D33" t="s">
        <v>36</v>
      </c>
      <c r="F33" t="s">
        <v>37</v>
      </c>
    </row>
    <row r="34" spans="1:7" x14ac:dyDescent="0.25">
      <c r="A34" t="s">
        <v>34</v>
      </c>
      <c r="B34">
        <f>C16</f>
        <v>60083.333333333336</v>
      </c>
      <c r="C34">
        <f>C14/C13*B13*D15</f>
        <v>70166.666666666672</v>
      </c>
      <c r="D34" s="3">
        <f>C34-B34</f>
        <v>10083.333333333336</v>
      </c>
      <c r="E34" s="10">
        <f>D34/B34</f>
        <v>0.16782246879334262</v>
      </c>
    </row>
    <row r="35" spans="1:7" x14ac:dyDescent="0.25">
      <c r="E35">
        <f>-C34</f>
        <v>-70166.666666666672</v>
      </c>
      <c r="F35" s="3">
        <f>E35-D37</f>
        <v>-96000.000000000029</v>
      </c>
    </row>
    <row r="36" spans="1:7" x14ac:dyDescent="0.25">
      <c r="B36" t="str">
        <f>A8</f>
        <v>Additonal Value=</v>
      </c>
      <c r="C36" t="s">
        <v>44</v>
      </c>
      <c r="D36" t="s">
        <v>42</v>
      </c>
    </row>
    <row r="37" spans="1:7" x14ac:dyDescent="0.25">
      <c r="A37" t="s">
        <v>35</v>
      </c>
      <c r="B37">
        <f>-B8</f>
        <v>35916.666666666686</v>
      </c>
      <c r="C37">
        <f>-D34</f>
        <v>-10083.333333333336</v>
      </c>
      <c r="D37" s="3">
        <f>B37+C37</f>
        <v>25833.33333333335</v>
      </c>
      <c r="E37" s="10">
        <f>D37/B16</f>
        <v>7.9487179487179538E-2</v>
      </c>
      <c r="F37" s="1" t="s">
        <v>40</v>
      </c>
      <c r="G37" t="s">
        <v>41</v>
      </c>
    </row>
    <row r="38" spans="1:7" x14ac:dyDescent="0.25">
      <c r="F38" s="1" t="s">
        <v>42</v>
      </c>
      <c r="G38" t="s">
        <v>43</v>
      </c>
    </row>
    <row r="39" spans="1:7" x14ac:dyDescent="0.25">
      <c r="D39">
        <f>D37+D34</f>
        <v>35916.666666666686</v>
      </c>
    </row>
    <row r="40" spans="1:7" x14ac:dyDescent="0.25">
      <c r="A40" s="3" t="s">
        <v>30</v>
      </c>
    </row>
    <row r="42" spans="1:7" x14ac:dyDescent="0.25">
      <c r="B42" s="1" t="s">
        <v>45</v>
      </c>
    </row>
    <row r="43" spans="1:7" x14ac:dyDescent="0.25">
      <c r="B43" s="1" t="s">
        <v>46</v>
      </c>
    </row>
    <row r="46" spans="1:7" x14ac:dyDescent="0.25">
      <c r="A46" t="s">
        <v>59</v>
      </c>
    </row>
    <row r="49" spans="1:7" x14ac:dyDescent="0.25">
      <c r="A49" t="s">
        <v>55</v>
      </c>
    </row>
    <row r="50" spans="1:7" x14ac:dyDescent="0.25">
      <c r="A50" t="s">
        <v>56</v>
      </c>
    </row>
    <row r="51" spans="1:7" x14ac:dyDescent="0.25">
      <c r="A51" t="s">
        <v>57</v>
      </c>
    </row>
    <row r="52" spans="1:7" x14ac:dyDescent="0.25">
      <c r="A52" t="s">
        <v>58</v>
      </c>
    </row>
    <row r="54" spans="1:7" x14ac:dyDescent="0.25">
      <c r="A54" t="s">
        <v>47</v>
      </c>
      <c r="C54" t="s">
        <v>51</v>
      </c>
      <c r="D54" t="s">
        <v>52</v>
      </c>
      <c r="E54" t="s">
        <v>53</v>
      </c>
    </row>
    <row r="55" spans="1:7" x14ac:dyDescent="0.25">
      <c r="A55" t="s">
        <v>49</v>
      </c>
      <c r="C55" t="s">
        <v>81</v>
      </c>
      <c r="D55">
        <f>C88-B95-C95</f>
        <v>1763.5</v>
      </c>
      <c r="E55">
        <f>I88-B95-C95</f>
        <v>535</v>
      </c>
    </row>
    <row r="56" spans="1:7" x14ac:dyDescent="0.25">
      <c r="A56" s="3" t="s">
        <v>48</v>
      </c>
    </row>
    <row r="58" spans="1:7" x14ac:dyDescent="0.25">
      <c r="A58" t="s">
        <v>50</v>
      </c>
      <c r="C58" t="s">
        <v>50</v>
      </c>
      <c r="D58" t="s">
        <v>50</v>
      </c>
      <c r="E58" t="s">
        <v>50</v>
      </c>
    </row>
    <row r="59" spans="1:7" ht="15.75" thickBot="1" x14ac:dyDescent="0.3">
      <c r="C59" t="s">
        <v>51</v>
      </c>
      <c r="D59" t="s">
        <v>52</v>
      </c>
      <c r="E59" t="s">
        <v>53</v>
      </c>
    </row>
    <row r="60" spans="1:7" ht="15.75" thickBot="1" x14ac:dyDescent="0.3">
      <c r="A60" t="s">
        <v>49</v>
      </c>
      <c r="C60">
        <f>D94/(C103+B89)</f>
        <v>0.85384615384615381</v>
      </c>
      <c r="D60">
        <f>(D94-D55*B98-(B95+C95)*B99)/(B89)</f>
        <v>0.96126470588235291</v>
      </c>
      <c r="E60">
        <f>(D94-(D55*B98-(B95+C95)*B99)*0.4)/(B89+(C103*0.6))</f>
        <v>0.90674107142857152</v>
      </c>
      <c r="F60" s="11" t="s">
        <v>85</v>
      </c>
      <c r="G60" s="12"/>
    </row>
    <row r="61" spans="1:7" x14ac:dyDescent="0.25">
      <c r="A61" t="s">
        <v>84</v>
      </c>
      <c r="C61">
        <f>B97+C97</f>
        <v>733</v>
      </c>
      <c r="D61">
        <f>B97+C97+D55</f>
        <v>2496.5</v>
      </c>
      <c r="E61">
        <f>B97+C97+E55*0.4</f>
        <v>947</v>
      </c>
    </row>
    <row r="62" spans="1:7" x14ac:dyDescent="0.25">
      <c r="A62" t="s">
        <v>12</v>
      </c>
      <c r="C62">
        <f>(C103+B89)*E90</f>
        <v>6216</v>
      </c>
      <c r="D62">
        <f>B91</f>
        <v>4144</v>
      </c>
      <c r="E62">
        <f>B91*0.6</f>
        <v>2486.4</v>
      </c>
    </row>
    <row r="63" spans="1:7" x14ac:dyDescent="0.25">
      <c r="C63" s="10">
        <f>C61/(C62+C61)</f>
        <v>0.10548280328104763</v>
      </c>
      <c r="D63" s="10">
        <f>D61/(D62+D61)</f>
        <v>0.37595060612905656</v>
      </c>
      <c r="E63" s="10">
        <f>E61/(E62+E61)</f>
        <v>0.27581988699248555</v>
      </c>
    </row>
    <row r="72" spans="1:5" x14ac:dyDescent="0.25">
      <c r="A72" s="3" t="s">
        <v>48</v>
      </c>
    </row>
    <row r="74" spans="1:5" x14ac:dyDescent="0.25">
      <c r="C74" t="s">
        <v>54</v>
      </c>
      <c r="D74" t="s">
        <v>54</v>
      </c>
      <c r="E74" t="s">
        <v>54</v>
      </c>
    </row>
    <row r="75" spans="1:5" x14ac:dyDescent="0.25">
      <c r="C75" t="s">
        <v>51</v>
      </c>
      <c r="D75" t="s">
        <v>52</v>
      </c>
      <c r="E75" t="s">
        <v>53</v>
      </c>
    </row>
    <row r="76" spans="1:5" x14ac:dyDescent="0.25">
      <c r="A76" t="s">
        <v>49</v>
      </c>
      <c r="C76">
        <f>D97/(D97+(C103+B89)*D90)</f>
        <v>2.2672068784520389E-4</v>
      </c>
    </row>
    <row r="77" spans="1:5" x14ac:dyDescent="0.25">
      <c r="A77" s="3" t="s">
        <v>48</v>
      </c>
    </row>
    <row r="82" spans="1:9" x14ac:dyDescent="0.25">
      <c r="C82" t="s">
        <v>71</v>
      </c>
      <c r="D82" t="s">
        <v>72</v>
      </c>
    </row>
    <row r="83" spans="1:9" x14ac:dyDescent="0.25">
      <c r="A83" t="s">
        <v>77</v>
      </c>
      <c r="B83" s="5">
        <v>0.2</v>
      </c>
      <c r="C83">
        <v>5</v>
      </c>
      <c r="D83">
        <v>45</v>
      </c>
    </row>
    <row r="84" spans="1:9" x14ac:dyDescent="0.25">
      <c r="B84" s="3" t="s">
        <v>60</v>
      </c>
      <c r="C84" s="3" t="s">
        <v>61</v>
      </c>
      <c r="D84" t="s">
        <v>74</v>
      </c>
    </row>
    <row r="85" spans="1:9" x14ac:dyDescent="0.25">
      <c r="A85" t="s">
        <v>62</v>
      </c>
      <c r="B85" s="6">
        <v>5</v>
      </c>
      <c r="C85" s="6">
        <v>3</v>
      </c>
      <c r="F85" t="s">
        <v>63</v>
      </c>
    </row>
    <row r="86" spans="1:9" x14ac:dyDescent="0.25">
      <c r="A86" t="s">
        <v>64</v>
      </c>
      <c r="B86">
        <v>2</v>
      </c>
      <c r="C86">
        <v>1</v>
      </c>
      <c r="F86" t="s">
        <v>68</v>
      </c>
      <c r="G86" t="s">
        <v>70</v>
      </c>
      <c r="H86" s="5">
        <v>0.6</v>
      </c>
      <c r="I86">
        <f>H86*C102</f>
        <v>1316.3294117647058</v>
      </c>
    </row>
    <row r="87" spans="1:9" x14ac:dyDescent="0.25">
      <c r="A87" t="s">
        <v>65</v>
      </c>
    </row>
    <row r="88" spans="1:9" x14ac:dyDescent="0.25">
      <c r="A88" t="s">
        <v>66</v>
      </c>
      <c r="C88">
        <f>22.75*C89</f>
        <v>2047.5</v>
      </c>
      <c r="F88" t="s">
        <v>69</v>
      </c>
      <c r="G88" t="s">
        <v>70</v>
      </c>
      <c r="H88" s="5">
        <v>0.4</v>
      </c>
      <c r="I88">
        <f>H88*C88</f>
        <v>819</v>
      </c>
    </row>
    <row r="89" spans="1:9" x14ac:dyDescent="0.25">
      <c r="A89" t="s">
        <v>67</v>
      </c>
      <c r="B89">
        <v>340</v>
      </c>
      <c r="C89">
        <v>90</v>
      </c>
      <c r="G89" t="s">
        <v>70</v>
      </c>
      <c r="I89">
        <f>SUM(I86:I88)</f>
        <v>2135.3294117647056</v>
      </c>
    </row>
    <row r="90" spans="1:9" x14ac:dyDescent="0.25">
      <c r="A90" t="s">
        <v>15</v>
      </c>
      <c r="B90">
        <f>B93*B94/B89</f>
        <v>12.188235294117646</v>
      </c>
      <c r="C90">
        <f>C93*C94/C89</f>
        <v>22.613333333333333</v>
      </c>
      <c r="D90">
        <f>D94*D91</f>
        <v>6216</v>
      </c>
      <c r="E90">
        <f>D90/(C103+B89)</f>
        <v>11.953846153846154</v>
      </c>
    </row>
    <row r="91" spans="1:9" x14ac:dyDescent="0.25">
      <c r="A91" t="s">
        <v>12</v>
      </c>
      <c r="B91" s="1">
        <f>B90*B89</f>
        <v>4144</v>
      </c>
      <c r="C91" s="1">
        <f>C90*C89</f>
        <v>2035.2</v>
      </c>
      <c r="D91">
        <v>14</v>
      </c>
    </row>
    <row r="92" spans="1:9" x14ac:dyDescent="0.25">
      <c r="A92" t="s">
        <v>73</v>
      </c>
      <c r="D92">
        <v>20</v>
      </c>
    </row>
    <row r="93" spans="1:9" x14ac:dyDescent="0.25">
      <c r="A93" t="s">
        <v>75</v>
      </c>
      <c r="B93">
        <v>14</v>
      </c>
      <c r="C93">
        <v>15.9</v>
      </c>
    </row>
    <row r="94" spans="1:9" x14ac:dyDescent="0.25">
      <c r="A94" t="s">
        <v>79</v>
      </c>
      <c r="B94">
        <v>296</v>
      </c>
      <c r="C94">
        <v>128</v>
      </c>
      <c r="D94">
        <f>SUM(B94:C94)+D92</f>
        <v>444</v>
      </c>
    </row>
    <row r="95" spans="1:9" x14ac:dyDescent="0.25">
      <c r="A95" t="s">
        <v>82</v>
      </c>
      <c r="B95">
        <v>220</v>
      </c>
      <c r="C95">
        <v>64</v>
      </c>
    </row>
    <row r="97" spans="1:4" x14ac:dyDescent="0.25">
      <c r="A97" t="s">
        <v>84</v>
      </c>
      <c r="B97">
        <v>540</v>
      </c>
      <c r="C97">
        <v>193</v>
      </c>
      <c r="D97">
        <f>SUM(B97:C97)</f>
        <v>733</v>
      </c>
    </row>
    <row r="98" spans="1:4" x14ac:dyDescent="0.25">
      <c r="A98" t="s">
        <v>76</v>
      </c>
      <c r="B98">
        <f>7.5%*(1-B83)</f>
        <v>0.06</v>
      </c>
    </row>
    <row r="99" spans="1:4" x14ac:dyDescent="0.25">
      <c r="A99" t="s">
        <v>78</v>
      </c>
      <c r="B99">
        <f>5%*0.8</f>
        <v>4.0000000000000008E-2</v>
      </c>
    </row>
    <row r="102" spans="1:4" x14ac:dyDescent="0.25">
      <c r="B102" t="s">
        <v>80</v>
      </c>
      <c r="C102">
        <f>C89/C86*B86*B90</f>
        <v>2193.8823529411766</v>
      </c>
    </row>
    <row r="103" spans="1:4" x14ac:dyDescent="0.25">
      <c r="B103" t="s">
        <v>83</v>
      </c>
      <c r="C103">
        <f>C89/C86*B86</f>
        <v>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2023-11-28T06:42:14Z</dcterms:modified>
</cp:coreProperties>
</file>